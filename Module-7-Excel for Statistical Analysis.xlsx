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E\10-Advanced Microsoft Excel-supply chain-Rishabh singh\"/>
    </mc:Choice>
  </mc:AlternateContent>
  <xr:revisionPtr revIDLastSave="0" documentId="13_ncr:1_{F380BC01-3DAA-47DC-9491-356C1B934BBF}" xr6:coauthVersionLast="47" xr6:coauthVersionMax="47" xr10:uidLastSave="{00000000-0000-0000-0000-000000000000}"/>
  <bookViews>
    <workbookView xWindow="-120" yWindow="-120" windowWidth="20730" windowHeight="11160" activeTab="8" xr2:uid="{15E00F6E-FAC9-46BF-921A-273EF7B70227}"/>
  </bookViews>
  <sheets>
    <sheet name="Descriptive Statistics" sheetId="1" r:id="rId1"/>
    <sheet name="Sheet2" sheetId="2" r:id="rId2"/>
    <sheet name="Inferential Statistics" sheetId="3" r:id="rId3"/>
    <sheet name="Hypothesis Testing" sheetId="4" r:id="rId4"/>
    <sheet name="Regression Analysis" sheetId="5" r:id="rId5"/>
    <sheet name="Sheet6" sheetId="6" r:id="rId6"/>
    <sheet name="Time Series Analysis" sheetId="7" r:id="rId7"/>
    <sheet name="Sheet8" sheetId="8" r:id="rId8"/>
    <sheet name="Multivariate Analysi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4" i="7" l="1" a="1"/>
  <c r="B24" i="7" s="1"/>
  <c r="B23" i="7" a="1"/>
  <c r="B23" i="7" s="1"/>
  <c r="S13" i="4"/>
  <c r="D13" i="4"/>
  <c r="C7" i="8"/>
  <c r="C8" i="8"/>
  <c r="D8" i="8"/>
  <c r="E8" i="8"/>
  <c r="E7" i="8"/>
  <c r="D7" i="8"/>
  <c r="J16" i="1" l="1"/>
  <c r="J15" i="1"/>
  <c r="J14" i="1"/>
  <c r="J13" i="1"/>
  <c r="J12" i="1"/>
  <c r="J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<sst xmlns="http://schemas.openxmlformats.org/spreadsheetml/2006/main" count="272" uniqueCount="237">
  <si>
    <t>Module 7: Excel for Statistical Analysis</t>
  </si>
  <si>
    <t>Statistical Analysis in Excel helps users analyze data, identify trends, make predictions, and support decision-</t>
  </si>
  <si>
    <r>
      <t xml:space="preserve">making. Excel provides built-in tools through </t>
    </r>
    <r>
      <rPr>
        <b/>
        <sz val="14"/>
        <color rgb="FF0000CC"/>
        <rFont val="Aptos Narrow"/>
        <family val="2"/>
        <scheme val="minor"/>
      </rPr>
      <t>Data Analysis ToolPak</t>
    </r>
    <r>
      <rPr>
        <sz val="14"/>
        <color rgb="FF0000CC"/>
        <rFont val="Aptos Narrow"/>
        <family val="2"/>
        <scheme val="minor"/>
      </rPr>
      <t>, formulas, and charts.</t>
    </r>
  </si>
  <si>
    <t>7.1 Descriptive Statistics</t>
  </si>
  <si>
    <t>Descriptive Statistics summarizes and describes the main features of a dataset.</t>
  </si>
  <si>
    <t>Common Measures</t>
  </si>
  <si>
    <t>Mean (Average)</t>
  </si>
  <si>
    <t>Median</t>
  </si>
  <si>
    <t>Mode</t>
  </si>
  <si>
    <t>Standard Deviation</t>
  </si>
  <si>
    <t>Variance</t>
  </si>
  <si>
    <t>Minimum &amp; Maximum</t>
  </si>
  <si>
    <t>Range</t>
  </si>
  <si>
    <t>Example Data</t>
  </si>
  <si>
    <t>Sales</t>
  </si>
  <si>
    <t>Method 1: Using Functions</t>
  </si>
  <si>
    <t>Measure</t>
  </si>
  <si>
    <t>Formula</t>
  </si>
  <si>
    <t>Mean</t>
  </si>
  <si>
    <t>Max</t>
  </si>
  <si>
    <t>Min</t>
  </si>
  <si>
    <t>Std Dev</t>
  </si>
  <si>
    <t>AVERAGE(F11:F15)</t>
  </si>
  <si>
    <t>MEDIAN(F11:F15)</t>
  </si>
  <si>
    <t>MODE.SNGL(F11:F15)</t>
  </si>
  <si>
    <t>MAX(F11:F15)</t>
  </si>
  <si>
    <t>MIN(F11:F15)</t>
  </si>
  <si>
    <t>STDEV.S(F11:F15)</t>
  </si>
  <si>
    <t>Column1</t>
  </si>
  <si>
    <t>Standard Error</t>
  </si>
  <si>
    <t>Sample Variance</t>
  </si>
  <si>
    <t>Kurtosis</t>
  </si>
  <si>
    <t>Skewness</t>
  </si>
  <si>
    <t>Minimum</t>
  </si>
  <si>
    <t>Maximum</t>
  </si>
  <si>
    <t>Sum</t>
  </si>
  <si>
    <t>Count</t>
  </si>
  <si>
    <t>Method 2: Using Data Analysis ToolPak</t>
  </si>
  <si>
    <r>
      <t xml:space="preserve">1. Click </t>
    </r>
    <r>
      <rPr>
        <b/>
        <sz val="11"/>
        <color theme="1"/>
        <rFont val="Aptos Narrow"/>
        <family val="2"/>
        <scheme val="minor"/>
      </rPr>
      <t>Data Tab</t>
    </r>
  </si>
  <si>
    <r>
      <t xml:space="preserve">2. Select </t>
    </r>
    <r>
      <rPr>
        <b/>
        <sz val="11"/>
        <color theme="1"/>
        <rFont val="Aptos Narrow"/>
        <family val="2"/>
        <scheme val="minor"/>
      </rPr>
      <t>Data Analysis</t>
    </r>
  </si>
  <si>
    <r>
      <t xml:space="preserve">3. Choose </t>
    </r>
    <r>
      <rPr>
        <b/>
        <sz val="11"/>
        <color theme="1"/>
        <rFont val="Aptos Narrow"/>
        <family val="2"/>
        <scheme val="minor"/>
      </rPr>
      <t>Descriptive Statistics</t>
    </r>
  </si>
  <si>
    <t>4. Select Input Range</t>
  </si>
  <si>
    <r>
      <t xml:space="preserve">5. Check </t>
    </r>
    <r>
      <rPr>
        <b/>
        <sz val="11"/>
        <color theme="1"/>
        <rFont val="Aptos Narrow"/>
        <family val="2"/>
        <scheme val="minor"/>
      </rPr>
      <t>Summary Statistics</t>
    </r>
  </si>
  <si>
    <r>
      <t xml:space="preserve">6. Click </t>
    </r>
    <r>
      <rPr>
        <b/>
        <sz val="11"/>
        <color theme="1"/>
        <rFont val="Aptos Narrow"/>
        <family val="2"/>
        <scheme val="minor"/>
      </rPr>
      <t>OK</t>
    </r>
  </si>
  <si>
    <t>Step 1: Enable Data Analysis ToolPak (If Not Visible)</t>
  </si>
  <si>
    <t>Excel 2016/2019/2021/365</t>
  </si>
  <si>
    <r>
      <t xml:space="preserve">1. Click </t>
    </r>
    <r>
      <rPr>
        <b/>
        <sz val="11"/>
        <color theme="1"/>
        <rFont val="Aptos Narrow"/>
        <family val="2"/>
        <scheme val="minor"/>
      </rPr>
      <t>File</t>
    </r>
  </si>
  <si>
    <r>
      <t xml:space="preserve">2. Click </t>
    </r>
    <r>
      <rPr>
        <b/>
        <sz val="11"/>
        <color theme="1"/>
        <rFont val="Aptos Narrow"/>
        <family val="2"/>
        <scheme val="minor"/>
      </rPr>
      <t>Options</t>
    </r>
  </si>
  <si>
    <r>
      <t xml:space="preserve">3. Select </t>
    </r>
    <r>
      <rPr>
        <b/>
        <sz val="11"/>
        <color theme="1"/>
        <rFont val="Aptos Narrow"/>
        <family val="2"/>
        <scheme val="minor"/>
      </rPr>
      <t>Add-ins</t>
    </r>
  </si>
  <si>
    <r>
      <t xml:space="preserve">4. At the bottom, choose </t>
    </r>
    <r>
      <rPr>
        <b/>
        <sz val="11"/>
        <color theme="1"/>
        <rFont val="Aptos Narrow"/>
        <family val="2"/>
        <scheme val="minor"/>
      </rPr>
      <t>Excel Add-ins</t>
    </r>
  </si>
  <si>
    <r>
      <t xml:space="preserve">5. Click </t>
    </r>
    <r>
      <rPr>
        <b/>
        <sz val="11"/>
        <color theme="1"/>
        <rFont val="Aptos Narrow"/>
        <family val="2"/>
        <scheme val="minor"/>
      </rPr>
      <t>Go</t>
    </r>
  </si>
  <si>
    <r>
      <t xml:space="preserve">6. Check </t>
    </r>
    <r>
      <rPr>
        <b/>
        <sz val="11"/>
        <color theme="1"/>
        <rFont val="Aptos Narrow"/>
        <family val="2"/>
        <scheme val="minor"/>
      </rPr>
      <t>Analysis ToolPak</t>
    </r>
  </si>
  <si>
    <r>
      <t xml:space="preserve">7. Click </t>
    </r>
    <r>
      <rPr>
        <b/>
        <sz val="11"/>
        <color theme="1"/>
        <rFont val="Aptos Narrow"/>
        <family val="2"/>
        <scheme val="minor"/>
      </rPr>
      <t>OK</t>
    </r>
  </si>
  <si>
    <t>7.2 Inferential Statistics</t>
  </si>
  <si>
    <t>What is Inferential Statistics?</t>
  </si>
  <si>
    <t>Inferential Statistics helps draw conclusions about a population using sample data.</t>
  </si>
  <si>
    <t>Uses</t>
  </si>
  <si>
    <t>Market Research</t>
  </si>
  <si>
    <t>Customer Surveys</t>
  </si>
  <si>
    <t>Product Testing</t>
  </si>
  <si>
    <t>Example</t>
  </si>
  <si>
    <t>A sample of 50 customers gives an average rating of 4.3.</t>
  </si>
  <si>
    <t>Use this sample to estimate the rating of all customers.</t>
  </si>
  <si>
    <t>Steps</t>
  </si>
  <si>
    <t>1. Collect sample data.</t>
  </si>
  <si>
    <t>2. Calculate sample mean.</t>
  </si>
  <si>
    <t>3. Calculate standard deviation.</t>
  </si>
  <si>
    <t>4. Estimate population parameters.</t>
  </si>
  <si>
    <r>
      <t xml:space="preserve">Suppose a company has </t>
    </r>
    <r>
      <rPr>
        <b/>
        <sz val="11"/>
        <color theme="1"/>
        <rFont val="Aptos Narrow"/>
        <family val="2"/>
        <scheme val="minor"/>
      </rPr>
      <t>10,000 customers</t>
    </r>
    <r>
      <rPr>
        <sz val="11"/>
        <color theme="1"/>
        <rFont val="Aptos Narrow"/>
        <family val="2"/>
        <scheme val="minor"/>
      </rPr>
      <t>.</t>
    </r>
  </si>
  <si>
    <r>
      <t xml:space="preserve">Instead of asking all 10,000 customers for feedback, the company surveys </t>
    </r>
    <r>
      <rPr>
        <b/>
        <sz val="11"/>
        <color theme="1"/>
        <rFont val="Aptos Narrow"/>
        <family val="2"/>
        <scheme val="minor"/>
      </rPr>
      <t>50 customers</t>
    </r>
    <r>
      <rPr>
        <sz val="11"/>
        <color theme="1"/>
        <rFont val="Aptos Narrow"/>
        <family val="2"/>
        <scheme val="minor"/>
      </rPr>
      <t xml:space="preserve"> and uses their</t>
    </r>
  </si>
  <si>
    <t>responses to estimate the opinion of all customers.</t>
  </si>
  <si>
    <t>Sample Data</t>
  </si>
  <si>
    <t>Assume 50 customers rated a product on a scale of 1 to 5.</t>
  </si>
  <si>
    <t>Customer</t>
  </si>
  <si>
    <t>Rating</t>
  </si>
  <si>
    <t>...</t>
  </si>
  <si>
    <t>Sample Size (n) = 50</t>
  </si>
  <si>
    <t>Sample Mean = 4.3</t>
  </si>
  <si>
    <t>Sample Standard Deviation = 0.6</t>
  </si>
  <si>
    <t>Result</t>
  </si>
  <si>
    <t>Sample Mean</t>
  </si>
  <si>
    <t>Margin of Error</t>
  </si>
  <si>
    <t>Lower Limit</t>
  </si>
  <si>
    <t>Upper Limit</t>
  </si>
  <si>
    <t>AVERAGE(B2:B51)</t>
  </si>
  <si>
    <t>STDEV.S(B2:B51)</t>
  </si>
  <si>
    <t>CONFIDENCE.NORM(0.05,0.6,50)</t>
  </si>
  <si>
    <t>4.3-0.166</t>
  </si>
  <si>
    <t>4.3+0.166</t>
  </si>
  <si>
    <t>Business Interpretation</t>
  </si>
  <si>
    <t>If a manager wants to know customer satisfaction:</t>
  </si>
  <si>
    <t>Surveying every customer is expensive.</t>
  </si>
  <si>
    <t>A sample of 50 customers is collected.</t>
  </si>
  <si>
    <t>Average rating = 4.3.</t>
  </si>
  <si>
    <r>
      <t xml:space="preserve">Inferential statistics estimates that the true average rating of all customers is between </t>
    </r>
    <r>
      <rPr>
        <b/>
        <sz val="11"/>
        <color theme="1"/>
        <rFont val="Aptos Narrow"/>
        <family val="2"/>
        <scheme val="minor"/>
      </rPr>
      <t>4.13 and 4.47</t>
    </r>
    <r>
      <rPr>
        <sz val="11"/>
        <color theme="1"/>
        <rFont val="Aptos Narrow"/>
        <family val="2"/>
        <scheme val="minor"/>
      </rPr>
      <t>.</t>
    </r>
  </si>
  <si>
    <t>This helps management make decisions using a small sample rather than collecting data from the entire population.</t>
  </si>
  <si>
    <t>α=1−Confidence Level</t>
  </si>
  <si>
    <t>Confidence Level</t>
  </si>
  <si>
    <t>Alpha (α)</t>
  </si>
  <si>
    <t>7.3 Hypothesis Testing in Excel</t>
  </si>
  <si>
    <t>What is Hypothesis Testing?</t>
  </si>
  <si>
    <t>Hypothesis Testing is a statistical method used to determine whether a claim about a population is likely to</t>
  </si>
  <si>
    <t>be true based on sample data.</t>
  </si>
  <si>
    <t>Business Example</t>
  </si>
  <si>
    <r>
      <t xml:space="preserve">A company claims that the </t>
    </r>
    <r>
      <rPr>
        <b/>
        <sz val="11"/>
        <color theme="1"/>
        <rFont val="Aptos Narrow"/>
        <family val="2"/>
        <scheme val="minor"/>
      </rPr>
      <t>average monthly sales per employee = ₹10,000</t>
    </r>
    <r>
      <rPr>
        <sz val="11"/>
        <color theme="1"/>
        <rFont val="Aptos Narrow"/>
        <family val="2"/>
        <scheme val="minor"/>
      </rPr>
      <t>.</t>
    </r>
  </si>
  <si>
    <t>You collect sales data from 10 employees to verify this claim.</t>
  </si>
  <si>
    <t>Step 1: Sample Dataset</t>
  </si>
  <si>
    <t>Employee</t>
  </si>
  <si>
    <t>Sales (₹)</t>
  </si>
  <si>
    <t>Calculate Sample Average</t>
  </si>
  <si>
    <t>AVERAGE(B13:B22)</t>
  </si>
  <si>
    <t>Company Claim:</t>
  </si>
  <si>
    <t>Population Mean = ₹10,000</t>
  </si>
  <si>
    <t>Define Hypotheses</t>
  </si>
  <si>
    <t>Null Hypothesis (H₀)</t>
  </si>
  <si>
    <t>The company claim is true.</t>
  </si>
  <si>
    <t>μ = 10,000</t>
  </si>
  <si>
    <t>Alternative Hypothesis (H₁)</t>
  </si>
  <si>
    <t>The company claim is not true.</t>
  </si>
  <si>
    <t>μ ≠ 10,000</t>
  </si>
  <si>
    <t>Calculate t-Statistic</t>
  </si>
  <si>
    <t>Formula:</t>
  </si>
  <si>
    <t>t=(x-μ)/(s/sqrt{n})</t>
  </si>
  <si>
    <t>Where:</t>
  </si>
  <si>
    <t>x̄ = Sample Mean = 11,400</t>
  </si>
  <si>
    <t>μ = Claimed Mean = 10,000</t>
  </si>
  <si>
    <t>s = Standard Deviation = 472.58</t>
  </si>
  <si>
    <t>n = 10</t>
  </si>
  <si>
    <t>t = (11400 - 10000) / (472.58 / √10)</t>
  </si>
  <si>
    <t>t ≈ 9.37</t>
  </si>
  <si>
    <t>Calculate p-value</t>
  </si>
  <si>
    <t>T.DIST.2T(9.37,9)</t>
  </si>
  <si>
    <t>df=n−1</t>
  </si>
  <si>
    <t>n = Sample Size , i.e. 10</t>
  </si>
  <si>
    <t>df = 10 - 1</t>
  </si>
  <si>
    <t>df = 9</t>
  </si>
  <si>
    <r>
      <t>9</t>
    </r>
    <r>
      <rPr>
        <sz val="14"/>
        <color rgb="FF0000CC"/>
        <rFont val="Aptos Narrow"/>
        <family val="2"/>
        <scheme val="minor"/>
      </rPr>
      <t xml:space="preserve"> = Degrees of Freedom (df)</t>
    </r>
  </si>
  <si>
    <t>0.00001 (approximately)</t>
  </si>
  <si>
    <t>Decision Rule</t>
  </si>
  <si>
    <t>If:</t>
  </si>
  <si>
    <t>p-value &lt; 0.05</t>
  </si>
  <si>
    <t>Reject H₀</t>
  </si>
  <si>
    <t>p-value &gt; 0.05</t>
  </si>
  <si>
    <t>Accept (Fail to Reject) H₀</t>
  </si>
  <si>
    <t>p-value = 0.00001</t>
  </si>
  <si>
    <t>0.00001 &lt; 0.05</t>
  </si>
  <si>
    <t>Business Conclusion</t>
  </si>
  <si>
    <t>The company claims:</t>
  </si>
  <si>
    <t>Average Sales = ₹10,000</t>
  </si>
  <si>
    <t>But the sample data shows:</t>
  </si>
  <si>
    <t>Average Sales = ₹11,400</t>
  </si>
  <si>
    <t>The difference is statistically significant.</t>
  </si>
  <si>
    <t>Final Conclusion</t>
  </si>
  <si>
    <t>There is sufficient evidence to conclude that the average sales are different from ₹10,000.</t>
  </si>
  <si>
    <t>7.4 Regression Analysis</t>
  </si>
  <si>
    <t>What is Regression Analysis?</t>
  </si>
  <si>
    <t>Regression predicts one variable based on another.</t>
  </si>
  <si>
    <t>Advertising Spend</t>
  </si>
  <si>
    <t>Month</t>
  </si>
  <si>
    <t>Jan</t>
  </si>
  <si>
    <t>Feb</t>
  </si>
  <si>
    <t>Mar</t>
  </si>
  <si>
    <t>Apr</t>
  </si>
  <si>
    <t>How does advertising affect sales?</t>
  </si>
  <si>
    <t>Regression Equation</t>
  </si>
  <si>
    <t>y=a+bx</t>
  </si>
  <si>
    <t>a=1</t>
  </si>
  <si>
    <t>b=1</t>
  </si>
  <si>
    <t>y = Sales</t>
  </si>
  <si>
    <t>x = Advertising</t>
  </si>
  <si>
    <t>a = Intercept</t>
  </si>
  <si>
    <t>b = Slope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</si>
  <si>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</si>
  <si>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</si>
  <si>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</si>
  <si>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</si>
  <si>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</si>
  <si>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</si>
  <si>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</si>
  <si>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</si>
  <si>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</si>
  <si>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</si>
  <si>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</si>
  <si>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</si>
  <si>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</si>
  <si>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</si>
  <si>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</si>
  <si>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</si>
  <si>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</si>
  <si>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</si>
  <si>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</si>
  <si>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</si>
  <si>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</si>
  <si>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</si>
  <si>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</si>
  <si>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</si>
  <si>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7.5 Time Series Analysis</t>
  </si>
  <si>
    <t>What is Time Series Analysis?</t>
  </si>
  <si>
    <t>Analyzes data collected over time to identify trends and forecast future values.</t>
  </si>
  <si>
    <t>May</t>
  </si>
  <si>
    <t>Method 1: Forecast Sheet</t>
  </si>
  <si>
    <t>1. Select Data</t>
  </si>
  <si>
    <t>2. Go to Data Tab</t>
  </si>
  <si>
    <t>3. Click Forecast Sheet</t>
  </si>
  <si>
    <t>4. Choose Line Chart</t>
  </si>
  <si>
    <t>5. Set Forecast Period</t>
  </si>
  <si>
    <t>6. Click Create</t>
  </si>
  <si>
    <t>Forecast(Month)</t>
  </si>
  <si>
    <t>Lower Confidence Bound(Month)</t>
  </si>
  <si>
    <t>Upper Confidence Bound(Month)</t>
  </si>
  <si>
    <t>Method 2: TREND Function</t>
  </si>
  <si>
    <t>Trend Example</t>
  </si>
  <si>
    <t>TREND(B18:B22,A18:A22,A23)</t>
  </si>
  <si>
    <t>TREND(B19:B23,A19:A23,A24)</t>
  </si>
  <si>
    <t>7.6 Multivariate Analysis</t>
  </si>
  <si>
    <t>What is Multivariate Analysis?</t>
  </si>
  <si>
    <t>Analyzes multiple variables simultaneously to understand relationships.</t>
  </si>
  <si>
    <t>Study the impact of:</t>
  </si>
  <si>
    <t>Advertising</t>
  </si>
  <si>
    <t>Price</t>
  </si>
  <si>
    <t>Customer Satisfaction</t>
  </si>
  <si>
    <t>Satisfaction</t>
  </si>
  <si>
    <t>1. Organize data in columns.</t>
  </si>
  <si>
    <t>2. Go to Data Analysis.</t>
  </si>
  <si>
    <t>3. Select Regression.</t>
  </si>
  <si>
    <t>4. Use Sales as Y Variable.</t>
  </si>
  <si>
    <t>5. Select all other columns as X Variables.</t>
  </si>
  <si>
    <t>6. Click OK.</t>
  </si>
  <si>
    <t>Benefits</t>
  </si>
  <si>
    <t>Identify key drivers.</t>
  </si>
  <si>
    <t>Predict outcomes.</t>
  </si>
  <si>
    <t>Improve business decisions.</t>
  </si>
  <si>
    <t>Common Applications</t>
  </si>
  <si>
    <t>Sales Forecasting</t>
  </si>
  <si>
    <t>Customer Analytics</t>
  </si>
  <si>
    <t>Financial Analysis</t>
  </si>
  <si>
    <t>Risk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</si>
</sst>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 val="double"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0000CC"/>
      <name val="Aptos Narrow"/>
      <family val="2"/>
      <scheme val="minor"/>
    </font>
    <font>
      <b/>
      <sz val="14"/>
      <color rgb="FF0000CC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0000CC"/>
      <name val="Aptos Narrow"/>
      <family val="2"/>
      <scheme val="minor"/>
    </font>
    <font>
      <sz val="11"/>
      <color rgb="FF0000CC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11" fillId="0" borderId="3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Continuous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13" fillId="0" borderId="0" xfId="0" applyFont="1" applyAlignment="1">
      <alignment vertical="center"/>
    </xf>
    <xf numFmtId="0" fontId="6" fillId="0" borderId="0" xfId="0" applyFont="1" applyBorder="1"/>
    <xf numFmtId="0" fontId="0" fillId="0" borderId="0" xfId="0" applyBorder="1"/>
    <xf numFmtId="9" fontId="10" fillId="0" borderId="1" xfId="0" applyNumberFormat="1" applyFont="1" applyBorder="1" applyAlignment="1">
      <alignment vertical="center" wrapText="1"/>
    </xf>
    <xf numFmtId="0" fontId="9" fillId="0" borderId="1" xfId="0" applyFont="1" applyBorder="1"/>
    <xf numFmtId="0" fontId="10" fillId="0" borderId="1" xfId="0" applyFont="1" applyBorder="1"/>
    <xf numFmtId="0" fontId="7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2" borderId="0" xfId="0" applyFill="1"/>
    <xf numFmtId="0" fontId="6" fillId="2" borderId="0" xfId="0" applyFont="1" applyFill="1"/>
    <xf numFmtId="0" fontId="14" fillId="0" borderId="0" xfId="0" applyFont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  <xf numFmtId="0" fontId="15" fillId="0" borderId="0" xfId="0" applyFont="1" applyAlignment="1">
      <alignment vertical="center"/>
    </xf>
    <xf numFmtId="0" fontId="7" fillId="0" borderId="4" xfId="0" applyFont="1" applyFill="1" applyBorder="1" applyAlignment="1">
      <alignment vertical="center" wrapText="1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270122484689415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'Regression Analysis'!$B$7</c:f>
              <c:strCache>
                <c:ptCount val="1"/>
                <c:pt idx="0">
                  <c:v>Advertising Spend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'Regression Analysis'!$B$8:$B$11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8-4C3D-A5E2-534C465B4545}"/>
            </c:ext>
          </c:extLst>
        </c:ser>
        <c:ser>
          <c:idx val="1"/>
          <c:order val="1"/>
          <c:tx>
            <c:strRef>
              <c:f>'Regression Analysis'!$C$7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'Regression Analysis'!$C$8:$C$11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B8-4C3D-A5E2-534C465B45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489977504"/>
        <c:axId val="1489948224"/>
      </c:lineChart>
      <c:catAx>
        <c:axId val="1489977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948224"/>
        <c:crosses val="autoZero"/>
        <c:auto val="1"/>
        <c:lblAlgn val="ctr"/>
        <c:lblOffset val="100"/>
        <c:noMultiLvlLbl val="0"/>
      </c:catAx>
      <c:valAx>
        <c:axId val="148994822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97750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'Time Series Analysis'!$B$9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Series Analysis'!$A$10:$A$14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'Time Series Analysis'!$B$10:$B$14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F-4085-BAAE-194B96164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989024"/>
        <c:axId val="1490007264"/>
      </c:lineChart>
      <c:catAx>
        <c:axId val="148998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07264"/>
        <c:crosses val="autoZero"/>
        <c:auto val="1"/>
        <c:lblAlgn val="ctr"/>
        <c:lblOffset val="100"/>
        <c:noMultiLvlLbl val="0"/>
      </c:catAx>
      <c:valAx>
        <c:axId val="149000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98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Sheet8!$B$2:$B$8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C-43E2-BAB2-03236ADB17A0}"/>
            </c:ext>
          </c:extLst>
        </c:ser>
        <c:ser>
          <c:idx val="1"/>
          <c:order val="1"/>
          <c:tx>
            <c:strRef>
              <c:f>Sheet8!$C$1</c:f>
              <c:strCache>
                <c:ptCount val="1"/>
                <c:pt idx="0">
                  <c:v>Forecast(Month)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Sheet8!$A$2:$A$8</c:f>
              <c:numCache>
                <c:formatCode>General</c:formatCode>
                <c:ptCount val="7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  <c:pt idx="5">
                  <c:v>200</c:v>
                </c:pt>
                <c:pt idx="6">
                  <c:v>220</c:v>
                </c:pt>
              </c:numCache>
            </c:numRef>
          </c:cat>
          <c:val>
            <c:numRef>
              <c:f>Sheet8!$C$2:$C$8</c:f>
              <c:numCache>
                <c:formatCode>General</c:formatCode>
                <c:ptCount val="7"/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C-43E2-BAB2-03236ADB17A0}"/>
            </c:ext>
          </c:extLst>
        </c:ser>
        <c:ser>
          <c:idx val="2"/>
          <c:order val="2"/>
          <c:tx>
            <c:strRef>
              <c:f>Sheet8!$D$1</c:f>
              <c:strCache>
                <c:ptCount val="1"/>
                <c:pt idx="0">
                  <c:v>Lower Confidence Bound(Month)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Sheet8!$A$2:$A$8</c:f>
              <c:numCache>
                <c:formatCode>General</c:formatCode>
                <c:ptCount val="7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  <c:pt idx="5">
                  <c:v>200</c:v>
                </c:pt>
                <c:pt idx="6">
                  <c:v>220</c:v>
                </c:pt>
              </c:numCache>
            </c:numRef>
          </c:cat>
          <c:val>
            <c:numRef>
              <c:f>Sheet8!$D$2:$D$8</c:f>
              <c:numCache>
                <c:formatCode>General</c:formatCode>
                <c:ptCount val="7"/>
                <c:pt idx="4" formatCode="0.00">
                  <c:v>1</c:v>
                </c:pt>
                <c:pt idx="5" formatCode="0.00">
                  <c:v>1</c:v>
                </c:pt>
                <c:pt idx="6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8C-43E2-BAB2-03236ADB17A0}"/>
            </c:ext>
          </c:extLst>
        </c:ser>
        <c:ser>
          <c:idx val="3"/>
          <c:order val="3"/>
          <c:tx>
            <c:strRef>
              <c:f>Sheet8!$E$1</c:f>
              <c:strCache>
                <c:ptCount val="1"/>
                <c:pt idx="0">
                  <c:v>Upper Confidence Bound(Month)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Sheet8!$A$2:$A$8</c:f>
              <c:numCache>
                <c:formatCode>General</c:formatCode>
                <c:ptCount val="7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  <c:pt idx="5">
                  <c:v>200</c:v>
                </c:pt>
                <c:pt idx="6">
                  <c:v>220</c:v>
                </c:pt>
              </c:numCache>
            </c:numRef>
          </c:cat>
          <c:val>
            <c:numRef>
              <c:f>Sheet8!$E$2:$E$8</c:f>
              <c:numCache>
                <c:formatCode>General</c:formatCode>
                <c:ptCount val="7"/>
                <c:pt idx="4" formatCode="0.00">
                  <c:v>1</c:v>
                </c:pt>
                <c:pt idx="5" formatCode="0.00">
                  <c:v>1</c:v>
                </c:pt>
                <c:pt idx="6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8C-43E2-BAB2-03236ADB1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960224"/>
        <c:axId val="1489964544"/>
      </c:lineChart>
      <c:catAx>
        <c:axId val="148996022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964544"/>
        <c:crosses val="autoZero"/>
        <c:auto val="1"/>
        <c:lblAlgn val="ctr"/>
        <c:lblOffset val="100"/>
        <c:noMultiLvlLbl val="0"/>
      </c:catAx>
      <c:valAx>
        <c:axId val="148996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96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2</xdr:row>
      <xdr:rowOff>166687</xdr:rowOff>
    </xdr:from>
    <xdr:to>
      <xdr:col>13</xdr:col>
      <xdr:colOff>228600</xdr:colOff>
      <xdr:row>16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C9346F-4E71-6A52-EE42-3B7ABD737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485775</xdr:colOff>
      <xdr:row>3</xdr:row>
      <xdr:rowOff>100012</xdr:rowOff>
    </xdr:from>
    <xdr:to>
      <xdr:col>19</xdr:col>
      <xdr:colOff>180975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A67F7-9983-3439-3EF1-0F67C5C50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0</xdr:row>
      <xdr:rowOff>138112</xdr:rowOff>
    </xdr:from>
    <xdr:to>
      <xdr:col>15</xdr:col>
      <xdr:colOff>266700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0941F-BD4C-8844-EAEE-72E90FCD3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14645-9C05-446A-84DE-49BBF8F8B84D}" name="Table1" displayName="Table1" ref="A1:E8" totalsRowShown="0">
  <autoFilter ref="A1:E8" xr:uid="{3E314645-9C05-446A-84DE-49BBF8F8B84D}"/>
  <tableColumns count="5">
    <tableColumn id="1" xr3:uid="{5B08DC2F-69B5-479C-99C1-CFB7377F5F7E}" name="Sales"/>
    <tableColumn id="2" xr3:uid="{C423A565-5C13-44C7-877C-30602DB2BA6F}" name="Month"/>
    <tableColumn id="3" xr3:uid="{32774778-C2CB-4B0D-8FC0-230D5907C3FC}" name="Forecast(Month)"/>
    <tableColumn id="4" xr3:uid="{6655DB4A-4150-4B37-A0F4-8A68163A945C}" name="Lower Confidence Bound(Month)" dataDxfId="1"/>
    <tableColumn id="5" xr3:uid="{84BD0800-84D3-4F07-82A8-5ACE81119026}" name="Upper Confidence Bound(Month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B3B7-7B41-439D-A6D7-AC069AF9B693}">
  <dimension ref="A1:O27"/>
  <sheetViews>
    <sheetView workbookViewId="0">
      <selection activeCell="G17" sqref="G17"/>
    </sheetView>
  </sheetViews>
  <sheetFormatPr defaultRowHeight="15"/>
  <cols>
    <col min="10" max="10" width="11.5703125" bestFit="1" customWidth="1"/>
  </cols>
  <sheetData>
    <row r="1" spans="1:15" ht="21">
      <c r="A1" s="2" t="s">
        <v>0</v>
      </c>
    </row>
    <row r="3" spans="1:15" ht="18.75">
      <c r="A3" s="5" t="s">
        <v>1</v>
      </c>
    </row>
    <row r="4" spans="1:15" ht="18.75">
      <c r="A4" s="5" t="s">
        <v>2</v>
      </c>
    </row>
    <row r="6" spans="1:15" ht="18.75">
      <c r="A6" s="6" t="s">
        <v>3</v>
      </c>
    </row>
    <row r="7" spans="1:15" ht="18.75">
      <c r="A7" s="5" t="s">
        <v>4</v>
      </c>
    </row>
    <row r="9" spans="1:15" ht="18">
      <c r="A9" s="8" t="s">
        <v>5</v>
      </c>
      <c r="F9" s="8" t="s">
        <v>13</v>
      </c>
      <c r="I9" s="8" t="s">
        <v>15</v>
      </c>
      <c r="O9" s="18" t="s">
        <v>37</v>
      </c>
    </row>
    <row r="10" spans="1:15" ht="18.75">
      <c r="A10" s="5" t="s">
        <v>6</v>
      </c>
      <c r="F10" s="12" t="s">
        <v>14</v>
      </c>
      <c r="I10" s="12" t="s">
        <v>16</v>
      </c>
      <c r="J10" s="12" t="s">
        <v>17</v>
      </c>
      <c r="O10" s="9"/>
    </row>
    <row r="11" spans="1:15" ht="18.75">
      <c r="A11" s="5" t="s">
        <v>7</v>
      </c>
      <c r="F11" s="11">
        <v>100</v>
      </c>
      <c r="I11" s="13" t="s">
        <v>18</v>
      </c>
      <c r="J11" s="13">
        <f>AVERAGE(F11:F15)</f>
        <v>148</v>
      </c>
      <c r="K11" t="s">
        <v>22</v>
      </c>
      <c r="O11" s="5" t="s">
        <v>38</v>
      </c>
    </row>
    <row r="12" spans="1:15" ht="18.75">
      <c r="A12" s="5" t="s">
        <v>8</v>
      </c>
      <c r="F12" s="11">
        <v>160</v>
      </c>
      <c r="I12" s="13" t="s">
        <v>7</v>
      </c>
      <c r="J12" s="13">
        <f>MEDIAN(F11:F15)</f>
        <v>160</v>
      </c>
      <c r="K12" t="s">
        <v>23</v>
      </c>
      <c r="O12" s="5" t="s">
        <v>39</v>
      </c>
    </row>
    <row r="13" spans="1:15" ht="18.75">
      <c r="A13" s="5" t="s">
        <v>9</v>
      </c>
      <c r="F13" s="11">
        <v>140</v>
      </c>
      <c r="I13" s="13" t="s">
        <v>8</v>
      </c>
      <c r="J13" s="13">
        <f>_xlfn.MODE.SNGL(F11:F15)</f>
        <v>160</v>
      </c>
      <c r="K13" t="s">
        <v>24</v>
      </c>
      <c r="O13" s="5" t="s">
        <v>40</v>
      </c>
    </row>
    <row r="14" spans="1:15" ht="18.75">
      <c r="A14" s="5" t="s">
        <v>10</v>
      </c>
      <c r="F14" s="11">
        <v>160</v>
      </c>
      <c r="I14" s="13" t="s">
        <v>19</v>
      </c>
      <c r="J14" s="13">
        <f>MAX(F11:F15)</f>
        <v>180</v>
      </c>
      <c r="K14" t="s">
        <v>25</v>
      </c>
      <c r="O14" s="5" t="s">
        <v>41</v>
      </c>
    </row>
    <row r="15" spans="1:15" ht="18.75">
      <c r="A15" s="5" t="s">
        <v>11</v>
      </c>
      <c r="F15" s="11">
        <v>180</v>
      </c>
      <c r="I15" s="13" t="s">
        <v>20</v>
      </c>
      <c r="J15" s="13">
        <f>MIN(F11:F15)</f>
        <v>100</v>
      </c>
      <c r="K15" t="s">
        <v>26</v>
      </c>
      <c r="O15" s="5" t="s">
        <v>42</v>
      </c>
    </row>
    <row r="16" spans="1:15" ht="18.75">
      <c r="A16" s="5" t="s">
        <v>12</v>
      </c>
      <c r="I16" s="13" t="s">
        <v>21</v>
      </c>
      <c r="J16" s="13">
        <f>_xlfn.STDEV.S(F11:F15)</f>
        <v>30.331501776206203</v>
      </c>
      <c r="K16" t="s">
        <v>27</v>
      </c>
      <c r="O16" s="5" t="s">
        <v>43</v>
      </c>
    </row>
    <row r="18" spans="15:15" ht="15.75">
      <c r="O18" s="18" t="s">
        <v>44</v>
      </c>
    </row>
    <row r="19" spans="15:15" ht="18">
      <c r="O19" s="8" t="s">
        <v>45</v>
      </c>
    </row>
    <row r="20" spans="15:15">
      <c r="O20" s="9"/>
    </row>
    <row r="21" spans="15:15" ht="18.75">
      <c r="O21" s="5" t="s">
        <v>46</v>
      </c>
    </row>
    <row r="22" spans="15:15" ht="18.75">
      <c r="O22" s="5" t="s">
        <v>47</v>
      </c>
    </row>
    <row r="23" spans="15:15" ht="18.75">
      <c r="O23" s="5" t="s">
        <v>48</v>
      </c>
    </row>
    <row r="24" spans="15:15" ht="18.75">
      <c r="O24" s="5" t="s">
        <v>49</v>
      </c>
    </row>
    <row r="25" spans="15:15" ht="18.75">
      <c r="O25" s="5" t="s">
        <v>50</v>
      </c>
    </row>
    <row r="26" spans="15:15" ht="18.75">
      <c r="O26" s="5" t="s">
        <v>51</v>
      </c>
    </row>
    <row r="27" spans="15:15" ht="18.75">
      <c r="O27" s="5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56C9-C0FE-4221-AE75-B64D36FF1F60}">
  <dimension ref="A1:B15"/>
  <sheetViews>
    <sheetView workbookViewId="0">
      <selection activeCell="B7" sqref="B7"/>
    </sheetView>
  </sheetViews>
  <sheetFormatPr defaultRowHeight="15"/>
  <sheetData>
    <row r="1" spans="1:2">
      <c r="A1" s="17" t="s">
        <v>28</v>
      </c>
      <c r="B1" s="17"/>
    </row>
    <row r="2" spans="1:2">
      <c r="A2" s="14"/>
      <c r="B2" s="14"/>
    </row>
    <row r="3" spans="1:2">
      <c r="A3" s="14" t="s">
        <v>18</v>
      </c>
      <c r="B3" s="14">
        <v>148</v>
      </c>
    </row>
    <row r="4" spans="1:2">
      <c r="A4" s="14" t="s">
        <v>29</v>
      </c>
      <c r="B4" s="14">
        <v>13.564659966250536</v>
      </c>
    </row>
    <row r="5" spans="1:2">
      <c r="A5" s="14" t="s">
        <v>7</v>
      </c>
      <c r="B5" s="14">
        <v>160</v>
      </c>
    </row>
    <row r="6" spans="1:2">
      <c r="A6" s="14" t="s">
        <v>8</v>
      </c>
      <c r="B6" s="14">
        <v>160</v>
      </c>
    </row>
    <row r="7" spans="1:2">
      <c r="A7" s="14" t="s">
        <v>9</v>
      </c>
      <c r="B7" s="14">
        <v>30.331501776206203</v>
      </c>
    </row>
    <row r="8" spans="1:2">
      <c r="A8" s="14" t="s">
        <v>30</v>
      </c>
      <c r="B8" s="14">
        <v>920</v>
      </c>
    </row>
    <row r="9" spans="1:2">
      <c r="A9" s="14" t="s">
        <v>31</v>
      </c>
      <c r="B9" s="14">
        <v>1.4555765595463122</v>
      </c>
    </row>
    <row r="10" spans="1:2">
      <c r="A10" s="14" t="s">
        <v>32</v>
      </c>
      <c r="B10" s="14">
        <v>-1.1180799331493778</v>
      </c>
    </row>
    <row r="11" spans="1:2">
      <c r="A11" s="14" t="s">
        <v>12</v>
      </c>
      <c r="B11" s="14">
        <v>80</v>
      </c>
    </row>
    <row r="12" spans="1:2">
      <c r="A12" s="14" t="s">
        <v>33</v>
      </c>
      <c r="B12" s="14">
        <v>100</v>
      </c>
    </row>
    <row r="13" spans="1:2">
      <c r="A13" s="14" t="s">
        <v>34</v>
      </c>
      <c r="B13" s="14">
        <v>180</v>
      </c>
    </row>
    <row r="14" spans="1:2">
      <c r="A14" s="14" t="s">
        <v>35</v>
      </c>
      <c r="B14" s="14">
        <v>740</v>
      </c>
    </row>
    <row r="15" spans="1:2" ht="15.75" thickBot="1">
      <c r="A15" s="15" t="s">
        <v>36</v>
      </c>
      <c r="B15" s="1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A284-683D-40AE-A982-E801189CA566}">
  <dimension ref="A1:T47"/>
  <sheetViews>
    <sheetView workbookViewId="0">
      <selection activeCell="V41" sqref="V41"/>
    </sheetView>
  </sheetViews>
  <sheetFormatPr defaultRowHeight="15"/>
  <cols>
    <col min="15" max="15" width="22.140625" customWidth="1"/>
    <col min="16" max="16" width="39.5703125" customWidth="1"/>
    <col min="19" max="19" width="17" bestFit="1" customWidth="1"/>
    <col min="20" max="20" width="9" bestFit="1" customWidth="1"/>
  </cols>
  <sheetData>
    <row r="1" spans="1:16" ht="18.75">
      <c r="A1" s="19" t="s">
        <v>53</v>
      </c>
    </row>
    <row r="3" spans="1:16" ht="18">
      <c r="A3" s="8" t="s">
        <v>54</v>
      </c>
    </row>
    <row r="5" spans="1:16" ht="18.75">
      <c r="A5" s="5" t="s">
        <v>55</v>
      </c>
    </row>
    <row r="7" spans="1:16" ht="18">
      <c r="A7" s="8" t="s">
        <v>56</v>
      </c>
    </row>
    <row r="8" spans="1:16" ht="18.75">
      <c r="A8" s="5" t="s">
        <v>57</v>
      </c>
    </row>
    <row r="9" spans="1:16" ht="18.75">
      <c r="A9" s="5" t="s">
        <v>58</v>
      </c>
    </row>
    <row r="10" spans="1:16" ht="18.75">
      <c r="A10" s="5" t="s">
        <v>59</v>
      </c>
      <c r="O10" s="8" t="s">
        <v>71</v>
      </c>
    </row>
    <row r="11" spans="1:16" ht="18.75">
      <c r="O11" s="5" t="s">
        <v>72</v>
      </c>
    </row>
    <row r="12" spans="1:16" ht="18">
      <c r="A12" s="8" t="s">
        <v>60</v>
      </c>
      <c r="O12" s="12" t="s">
        <v>73</v>
      </c>
      <c r="P12" s="12" t="s">
        <v>74</v>
      </c>
    </row>
    <row r="13" spans="1:16" ht="18.75">
      <c r="A13" s="5" t="s">
        <v>61</v>
      </c>
      <c r="O13" s="20">
        <v>1</v>
      </c>
      <c r="P13" s="20">
        <v>4</v>
      </c>
    </row>
    <row r="14" spans="1:16" ht="18.75">
      <c r="A14" s="5" t="s">
        <v>62</v>
      </c>
      <c r="O14" s="20">
        <v>2</v>
      </c>
      <c r="P14" s="20">
        <v>5</v>
      </c>
    </row>
    <row r="15" spans="1:16">
      <c r="O15" s="20">
        <v>3</v>
      </c>
      <c r="P15" s="20">
        <v>4</v>
      </c>
    </row>
    <row r="16" spans="1:16" ht="18">
      <c r="A16" s="8" t="s">
        <v>63</v>
      </c>
      <c r="O16" s="20">
        <v>4</v>
      </c>
      <c r="P16" s="20">
        <v>4</v>
      </c>
    </row>
    <row r="17" spans="1:17" ht="18.75">
      <c r="A17" s="5" t="s">
        <v>64</v>
      </c>
      <c r="O17" s="20">
        <v>5</v>
      </c>
      <c r="P17" s="20">
        <v>5</v>
      </c>
    </row>
    <row r="18" spans="1:17" ht="18.75">
      <c r="A18" s="5" t="s">
        <v>65</v>
      </c>
      <c r="O18" s="20">
        <v>6</v>
      </c>
      <c r="P18" s="20">
        <v>3</v>
      </c>
    </row>
    <row r="19" spans="1:17" ht="18.75">
      <c r="A19" s="5" t="s">
        <v>66</v>
      </c>
      <c r="O19" s="20">
        <v>7</v>
      </c>
      <c r="P19" s="20">
        <v>4</v>
      </c>
    </row>
    <row r="20" spans="1:17" ht="18.75">
      <c r="A20" s="5" t="s">
        <v>67</v>
      </c>
      <c r="O20" s="20">
        <v>8</v>
      </c>
      <c r="P20" s="20">
        <v>5</v>
      </c>
    </row>
    <row r="21" spans="1:17">
      <c r="O21" s="20">
        <v>9</v>
      </c>
      <c r="P21" s="20">
        <v>4</v>
      </c>
    </row>
    <row r="22" spans="1:17" ht="18.75">
      <c r="A22" s="5" t="s">
        <v>68</v>
      </c>
      <c r="O22" s="20">
        <v>10</v>
      </c>
      <c r="P22" s="20">
        <v>5</v>
      </c>
    </row>
    <row r="23" spans="1:17" ht="18.75">
      <c r="A23" s="5" t="s">
        <v>69</v>
      </c>
      <c r="O23" s="20" t="s">
        <v>75</v>
      </c>
      <c r="P23" s="20" t="s">
        <v>75</v>
      </c>
    </row>
    <row r="24" spans="1:17" ht="18.75">
      <c r="A24" s="5" t="s">
        <v>70</v>
      </c>
      <c r="O24" s="20">
        <v>50</v>
      </c>
      <c r="P24" s="20">
        <v>4</v>
      </c>
    </row>
    <row r="26" spans="1:17" ht="18.75">
      <c r="O26" s="5" t="s">
        <v>76</v>
      </c>
    </row>
    <row r="27" spans="1:17" ht="18.75">
      <c r="O27" s="5" t="s">
        <v>77</v>
      </c>
    </row>
    <row r="28" spans="1:17" ht="18.75">
      <c r="O28" s="5" t="s">
        <v>78</v>
      </c>
    </row>
    <row r="30" spans="1:17">
      <c r="O30" s="10" t="s">
        <v>16</v>
      </c>
      <c r="P30" s="10" t="s">
        <v>17</v>
      </c>
      <c r="Q30" s="10" t="s">
        <v>79</v>
      </c>
    </row>
    <row r="31" spans="1:17" ht="18.75">
      <c r="O31" s="21" t="s">
        <v>80</v>
      </c>
      <c r="P31" s="21" t="s">
        <v>84</v>
      </c>
      <c r="Q31" s="21">
        <v>4.3</v>
      </c>
    </row>
    <row r="32" spans="1:17" ht="18.75">
      <c r="O32" s="21" t="s">
        <v>9</v>
      </c>
      <c r="P32" s="21" t="s">
        <v>85</v>
      </c>
      <c r="Q32" s="21">
        <v>0.6</v>
      </c>
    </row>
    <row r="33" spans="15:20" ht="18.75">
      <c r="O33" s="21" t="s">
        <v>81</v>
      </c>
      <c r="P33" s="21" t="s">
        <v>86</v>
      </c>
      <c r="Q33" s="21">
        <v>0.16600000000000001</v>
      </c>
      <c r="S33" s="23" t="s">
        <v>96</v>
      </c>
    </row>
    <row r="34" spans="15:20" ht="18.75">
      <c r="O34" s="21" t="s">
        <v>82</v>
      </c>
      <c r="P34" s="21" t="s">
        <v>87</v>
      </c>
      <c r="Q34" s="21">
        <v>4.1340000000000003</v>
      </c>
    </row>
    <row r="35" spans="15:20" ht="18.75">
      <c r="O35" s="21" t="s">
        <v>83</v>
      </c>
      <c r="P35" s="21" t="s">
        <v>88</v>
      </c>
      <c r="Q35" s="21">
        <v>4.4660000000000002</v>
      </c>
      <c r="S35" s="12" t="s">
        <v>97</v>
      </c>
      <c r="T35" s="12" t="s">
        <v>98</v>
      </c>
    </row>
    <row r="36" spans="15:20">
      <c r="S36" s="25">
        <v>0.9</v>
      </c>
      <c r="T36" s="13">
        <v>0.1</v>
      </c>
    </row>
    <row r="37" spans="15:20">
      <c r="S37" s="25">
        <v>0.95</v>
      </c>
      <c r="T37" s="13">
        <v>0.05</v>
      </c>
    </row>
    <row r="38" spans="15:20" ht="24">
      <c r="O38" s="22" t="s">
        <v>89</v>
      </c>
      <c r="S38" s="25">
        <v>0.99</v>
      </c>
      <c r="T38" s="13">
        <v>0.01</v>
      </c>
    </row>
    <row r="40" spans="15:20" ht="18.75">
      <c r="O40" s="23" t="s">
        <v>90</v>
      </c>
    </row>
    <row r="41" spans="15:20" ht="18.75">
      <c r="O41" s="23"/>
    </row>
    <row r="42" spans="15:20" ht="18.75">
      <c r="O42" s="23" t="s">
        <v>91</v>
      </c>
    </row>
    <row r="43" spans="15:20" ht="18.75">
      <c r="O43" s="23" t="s">
        <v>92</v>
      </c>
    </row>
    <row r="44" spans="15:20" ht="18.75">
      <c r="O44" s="23" t="s">
        <v>93</v>
      </c>
    </row>
    <row r="45" spans="15:20" ht="18.75">
      <c r="O45" s="23" t="s">
        <v>94</v>
      </c>
    </row>
    <row r="46" spans="15:20">
      <c r="O46" s="24"/>
    </row>
    <row r="47" spans="15:20" ht="18.75">
      <c r="O47" s="23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951D-9A20-4B72-BF00-D41108AD3A85}">
  <dimension ref="A1:T38"/>
  <sheetViews>
    <sheetView workbookViewId="0">
      <selection activeCell="P29" sqref="P29"/>
    </sheetView>
  </sheetViews>
  <sheetFormatPr defaultRowHeight="15"/>
  <cols>
    <col min="1" max="1" width="10.28515625" customWidth="1"/>
    <col min="19" max="19" width="12" bestFit="1" customWidth="1"/>
  </cols>
  <sheetData>
    <row r="1" spans="1:20" ht="18.75">
      <c r="A1" s="6" t="s">
        <v>99</v>
      </c>
    </row>
    <row r="3" spans="1:20" ht="18.75">
      <c r="A3" s="6" t="s">
        <v>100</v>
      </c>
    </row>
    <row r="4" spans="1:20" ht="18.75">
      <c r="A4" s="5" t="s">
        <v>101</v>
      </c>
    </row>
    <row r="5" spans="1:20" ht="18.75">
      <c r="A5" s="5" t="s">
        <v>102</v>
      </c>
    </row>
    <row r="7" spans="1:20" ht="18.75">
      <c r="A7" s="6" t="s">
        <v>103</v>
      </c>
    </row>
    <row r="8" spans="1:20" ht="18.75">
      <c r="A8" s="5" t="s">
        <v>104</v>
      </c>
    </row>
    <row r="9" spans="1:20" ht="18.75">
      <c r="A9" s="5" t="s">
        <v>105</v>
      </c>
    </row>
    <row r="11" spans="1:20">
      <c r="A11" s="3" t="s">
        <v>106</v>
      </c>
    </row>
    <row r="12" spans="1:20" ht="19.5" customHeight="1">
      <c r="A12" s="12" t="s">
        <v>107</v>
      </c>
      <c r="B12" s="12" t="s">
        <v>108</v>
      </c>
      <c r="D12" s="3" t="s">
        <v>109</v>
      </c>
      <c r="H12" s="3" t="s">
        <v>113</v>
      </c>
      <c r="M12" s="3" t="s">
        <v>120</v>
      </c>
      <c r="S12" s="3" t="s">
        <v>130</v>
      </c>
    </row>
    <row r="13" spans="1:20" ht="18.75">
      <c r="A13" s="13">
        <v>1</v>
      </c>
      <c r="B13" s="13">
        <v>11000</v>
      </c>
      <c r="D13" s="26">
        <f>AVERAGE(B13:B22)</f>
        <v>11400</v>
      </c>
      <c r="E13" t="s">
        <v>110</v>
      </c>
      <c r="H13" s="5" t="s">
        <v>114</v>
      </c>
      <c r="M13" t="s">
        <v>121</v>
      </c>
      <c r="S13" s="27">
        <f>_xlfn.T.DIST.2T(9.37,9)</f>
        <v>6.1335615546253645E-6</v>
      </c>
      <c r="T13" t="s">
        <v>131</v>
      </c>
    </row>
    <row r="14" spans="1:20" ht="18.75">
      <c r="A14" s="13">
        <v>2</v>
      </c>
      <c r="B14" s="13">
        <v>11500</v>
      </c>
      <c r="H14" s="4" t="s">
        <v>115</v>
      </c>
      <c r="M14" s="4" t="s">
        <v>122</v>
      </c>
      <c r="S14" s="5" t="s">
        <v>137</v>
      </c>
    </row>
    <row r="15" spans="1:20" ht="18.75">
      <c r="A15" s="13">
        <v>3</v>
      </c>
      <c r="B15" s="13">
        <v>10800</v>
      </c>
      <c r="D15" s="3" t="s">
        <v>111</v>
      </c>
      <c r="H15" s="4" t="s">
        <v>116</v>
      </c>
    </row>
    <row r="16" spans="1:20" ht="18.75">
      <c r="A16" s="13">
        <v>4</v>
      </c>
      <c r="B16" s="13">
        <v>12000</v>
      </c>
      <c r="D16" t="s">
        <v>112</v>
      </c>
      <c r="M16" s="4" t="s">
        <v>123</v>
      </c>
      <c r="S16" s="28" t="s">
        <v>136</v>
      </c>
    </row>
    <row r="17" spans="1:19" ht="18.75">
      <c r="A17" s="13">
        <v>5</v>
      </c>
      <c r="B17" s="13">
        <v>11200</v>
      </c>
      <c r="H17" s="5" t="s">
        <v>117</v>
      </c>
      <c r="M17" s="5" t="s">
        <v>124</v>
      </c>
      <c r="S17" s="5" t="s">
        <v>132</v>
      </c>
    </row>
    <row r="18" spans="1:19" ht="18.75">
      <c r="A18" s="13">
        <v>6</v>
      </c>
      <c r="B18" s="13">
        <v>11700</v>
      </c>
      <c r="H18" s="4" t="s">
        <v>118</v>
      </c>
      <c r="M18" s="5" t="s">
        <v>125</v>
      </c>
      <c r="S18" s="5" t="s">
        <v>133</v>
      </c>
    </row>
    <row r="19" spans="1:19" ht="18.75">
      <c r="A19" s="13">
        <v>7</v>
      </c>
      <c r="B19" s="13">
        <v>10900</v>
      </c>
      <c r="H19" s="4" t="s">
        <v>119</v>
      </c>
      <c r="M19" s="5" t="s">
        <v>126</v>
      </c>
      <c r="S19" s="5" t="s">
        <v>134</v>
      </c>
    </row>
    <row r="20" spans="1:19" ht="18.75">
      <c r="A20" s="13">
        <v>8</v>
      </c>
      <c r="B20" s="13">
        <v>11400</v>
      </c>
      <c r="M20" s="5" t="s">
        <v>127</v>
      </c>
      <c r="S20" s="5" t="s">
        <v>135</v>
      </c>
    </row>
    <row r="21" spans="1:19">
      <c r="A21" s="13">
        <v>9</v>
      </c>
      <c r="B21" s="13">
        <v>11300</v>
      </c>
    </row>
    <row r="22" spans="1:19" ht="18.75">
      <c r="A22" s="13">
        <v>10</v>
      </c>
      <c r="B22" s="13">
        <v>12200</v>
      </c>
      <c r="M22" s="5" t="s">
        <v>128</v>
      </c>
    </row>
    <row r="23" spans="1:19" ht="18.75">
      <c r="M23" s="5" t="s">
        <v>129</v>
      </c>
    </row>
    <row r="27" spans="1:19" ht="21">
      <c r="J27" s="1" t="s">
        <v>138</v>
      </c>
      <c r="O27" s="1" t="s">
        <v>146</v>
      </c>
    </row>
    <row r="28" spans="1:19" ht="18.75">
      <c r="J28" s="5" t="s">
        <v>139</v>
      </c>
      <c r="O28" s="5" t="s">
        <v>147</v>
      </c>
    </row>
    <row r="29" spans="1:19" ht="18.75">
      <c r="J29" s="5" t="s">
        <v>140</v>
      </c>
      <c r="O29" s="5" t="s">
        <v>148</v>
      </c>
    </row>
    <row r="30" spans="1:19" ht="18.75">
      <c r="J30" s="5" t="s">
        <v>141</v>
      </c>
      <c r="O30" s="5"/>
    </row>
    <row r="31" spans="1:19" ht="18.75">
      <c r="J31" s="5"/>
      <c r="O31" s="5" t="s">
        <v>149</v>
      </c>
    </row>
    <row r="32" spans="1:19" ht="18.75">
      <c r="J32" s="5" t="s">
        <v>139</v>
      </c>
      <c r="O32" s="5" t="s">
        <v>150</v>
      </c>
    </row>
    <row r="33" spans="10:15" ht="18.75">
      <c r="J33" s="5" t="s">
        <v>142</v>
      </c>
      <c r="O33" s="5"/>
    </row>
    <row r="34" spans="10:15" ht="18.75">
      <c r="J34" s="5" t="s">
        <v>143</v>
      </c>
      <c r="O34" s="5" t="s">
        <v>151</v>
      </c>
    </row>
    <row r="35" spans="10:15" ht="18.75">
      <c r="J35" s="5"/>
    </row>
    <row r="36" spans="10:15" ht="18.75">
      <c r="J36" s="5" t="s">
        <v>144</v>
      </c>
      <c r="O36" s="8" t="s">
        <v>152</v>
      </c>
    </row>
    <row r="37" spans="10:15" ht="18.75">
      <c r="J37" s="5" t="s">
        <v>145</v>
      </c>
      <c r="O37" s="29" t="s">
        <v>153</v>
      </c>
    </row>
    <row r="38" spans="10:15" ht="18.75">
      <c r="J38" s="5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009A-FADD-4A8F-8D50-859EF4CDCA20}">
  <dimension ref="A1:N24"/>
  <sheetViews>
    <sheetView workbookViewId="0">
      <selection activeCell="D16" sqref="D16"/>
    </sheetView>
  </sheetViews>
  <sheetFormatPr defaultRowHeight="15"/>
  <cols>
    <col min="1" max="1" width="10.85546875" customWidth="1"/>
    <col min="2" max="2" width="18.7109375" customWidth="1"/>
  </cols>
  <sheetData>
    <row r="1" spans="1:14" ht="18.75">
      <c r="A1" s="6" t="s">
        <v>154</v>
      </c>
    </row>
    <row r="3" spans="1:14" ht="18">
      <c r="A3" s="8" t="s">
        <v>155</v>
      </c>
      <c r="F3" s="30"/>
      <c r="G3" s="30"/>
      <c r="H3" s="30"/>
      <c r="I3" s="30"/>
      <c r="J3" s="30"/>
      <c r="K3" s="30"/>
      <c r="L3" s="30"/>
      <c r="M3" s="30"/>
      <c r="N3" s="30"/>
    </row>
    <row r="4" spans="1:14" s="5" customFormat="1" ht="18.75">
      <c r="A4" s="5" t="s">
        <v>156</v>
      </c>
      <c r="F4" s="31"/>
      <c r="G4" s="31"/>
      <c r="H4" s="31"/>
      <c r="I4" s="31"/>
      <c r="J4" s="31"/>
      <c r="K4" s="31"/>
      <c r="L4" s="31"/>
      <c r="M4" s="31"/>
      <c r="N4" s="31"/>
    </row>
    <row r="5" spans="1:14">
      <c r="F5" s="30"/>
      <c r="G5" s="30"/>
      <c r="H5" s="30"/>
      <c r="I5" s="30"/>
      <c r="J5" s="30"/>
      <c r="K5" s="30"/>
      <c r="L5" s="30"/>
      <c r="M5" s="30"/>
      <c r="N5" s="30"/>
    </row>
    <row r="6" spans="1:14" ht="18">
      <c r="A6" s="8" t="s">
        <v>60</v>
      </c>
      <c r="F6" s="30"/>
      <c r="G6" s="30"/>
      <c r="H6" s="30"/>
      <c r="I6" s="30"/>
      <c r="J6" s="30"/>
      <c r="K6" s="30"/>
      <c r="L6" s="30"/>
      <c r="M6" s="30"/>
      <c r="N6" s="30"/>
    </row>
    <row r="7" spans="1:14" ht="22.5" customHeight="1">
      <c r="A7" s="12" t="s">
        <v>158</v>
      </c>
      <c r="B7" s="12" t="s">
        <v>157</v>
      </c>
      <c r="C7" s="12" t="s">
        <v>14</v>
      </c>
      <c r="F7" s="30"/>
      <c r="G7" s="30"/>
      <c r="H7" s="30"/>
      <c r="I7" s="30"/>
      <c r="J7" s="30"/>
      <c r="K7" s="30"/>
      <c r="L7" s="30"/>
      <c r="M7" s="30"/>
      <c r="N7" s="30"/>
    </row>
    <row r="8" spans="1:14">
      <c r="A8" s="12" t="s">
        <v>159</v>
      </c>
      <c r="B8" s="20">
        <v>10</v>
      </c>
      <c r="C8" s="20">
        <v>100</v>
      </c>
      <c r="F8" s="30"/>
      <c r="G8" s="30"/>
      <c r="H8" s="30"/>
      <c r="I8" s="30"/>
      <c r="J8" s="30"/>
      <c r="K8" s="30"/>
      <c r="L8" s="30"/>
      <c r="M8" s="30"/>
      <c r="N8" s="30"/>
    </row>
    <row r="9" spans="1:14">
      <c r="A9" s="12" t="s">
        <v>160</v>
      </c>
      <c r="B9" s="20">
        <v>20</v>
      </c>
      <c r="C9" s="20">
        <v>150</v>
      </c>
      <c r="F9" s="30"/>
      <c r="G9" s="30"/>
      <c r="H9" s="30"/>
      <c r="I9" s="30"/>
      <c r="J9" s="30"/>
      <c r="K9" s="30"/>
      <c r="L9" s="30"/>
      <c r="M9" s="30"/>
      <c r="N9" s="30"/>
    </row>
    <row r="10" spans="1:14">
      <c r="A10" s="12" t="s">
        <v>161</v>
      </c>
      <c r="B10" s="20">
        <v>30</v>
      </c>
      <c r="C10" s="20">
        <v>200</v>
      </c>
      <c r="F10" s="30"/>
      <c r="G10" s="30"/>
      <c r="H10" s="30"/>
      <c r="I10" s="30"/>
      <c r="J10" s="30"/>
      <c r="K10" s="30"/>
      <c r="L10" s="30"/>
      <c r="M10" s="30"/>
      <c r="N10" s="30"/>
    </row>
    <row r="11" spans="1:14">
      <c r="A11" s="12" t="s">
        <v>162</v>
      </c>
      <c r="B11" s="20">
        <v>40</v>
      </c>
      <c r="C11" s="20">
        <v>250</v>
      </c>
      <c r="F11" s="30"/>
      <c r="G11" s="30"/>
      <c r="H11" s="30"/>
      <c r="I11" s="30"/>
      <c r="J11" s="30"/>
      <c r="K11" s="30"/>
      <c r="L11" s="30"/>
      <c r="M11" s="30"/>
      <c r="N11" s="30"/>
    </row>
    <row r="12" spans="1:14">
      <c r="F12" s="30"/>
      <c r="G12" s="30"/>
      <c r="H12" s="30"/>
      <c r="I12" s="30"/>
      <c r="J12" s="30"/>
      <c r="K12" s="30"/>
      <c r="L12" s="30"/>
      <c r="M12" s="30"/>
      <c r="N12" s="30"/>
    </row>
    <row r="13" spans="1:14" ht="18.75">
      <c r="A13" s="5" t="s">
        <v>163</v>
      </c>
      <c r="F13" s="30"/>
      <c r="G13" s="30"/>
      <c r="H13" s="30"/>
      <c r="I13" s="30"/>
      <c r="J13" s="30"/>
      <c r="K13" s="30"/>
      <c r="L13" s="30"/>
      <c r="M13" s="30"/>
      <c r="N13" s="30"/>
    </row>
    <row r="14" spans="1:14">
      <c r="F14" s="30"/>
      <c r="G14" s="30"/>
      <c r="H14" s="30"/>
      <c r="I14" s="30"/>
      <c r="J14" s="30"/>
      <c r="K14" s="30"/>
      <c r="L14" s="30"/>
      <c r="M14" s="30"/>
      <c r="N14" s="30"/>
    </row>
    <row r="15" spans="1:14" ht="18">
      <c r="A15" s="8" t="s">
        <v>164</v>
      </c>
      <c r="F15" s="30"/>
      <c r="G15" s="30"/>
      <c r="H15" s="30"/>
      <c r="I15" s="30"/>
      <c r="J15" s="30"/>
      <c r="K15" s="30"/>
      <c r="L15" s="30"/>
      <c r="M15" s="30"/>
      <c r="N15" s="30"/>
    </row>
    <row r="16" spans="1:14" ht="18.75">
      <c r="A16" s="5" t="s">
        <v>165</v>
      </c>
      <c r="F16" s="30"/>
      <c r="G16" s="30"/>
      <c r="H16" s="30"/>
      <c r="I16" s="30"/>
      <c r="J16" s="30"/>
      <c r="K16" s="30"/>
      <c r="L16" s="30"/>
      <c r="M16" s="30"/>
      <c r="N16" s="30"/>
    </row>
    <row r="17" spans="1:14" ht="18.75">
      <c r="A17" s="5" t="s">
        <v>166</v>
      </c>
      <c r="F17" s="30"/>
      <c r="G17" s="30"/>
      <c r="H17" s="30"/>
      <c r="I17" s="30"/>
      <c r="J17" s="30"/>
      <c r="K17" s="30"/>
      <c r="L17" s="30"/>
      <c r="M17" s="30"/>
      <c r="N17" s="30"/>
    </row>
    <row r="18" spans="1:14" ht="18.75">
      <c r="A18" s="5" t="s">
        <v>167</v>
      </c>
    </row>
    <row r="20" spans="1:14" ht="18">
      <c r="A20" s="8" t="s">
        <v>123</v>
      </c>
      <c r="B20" s="8"/>
      <c r="C20" s="8"/>
      <c r="D20" s="8"/>
    </row>
    <row r="21" spans="1:14" ht="18.75">
      <c r="A21" s="29" t="s">
        <v>168</v>
      </c>
      <c r="B21" s="8"/>
      <c r="C21" s="8"/>
      <c r="D21" s="8"/>
    </row>
    <row r="22" spans="1:14" ht="18.75">
      <c r="A22" s="29" t="s">
        <v>169</v>
      </c>
      <c r="B22" s="8"/>
      <c r="C22" s="8"/>
      <c r="D22" s="8"/>
    </row>
    <row r="23" spans="1:14" ht="18.75">
      <c r="A23" s="29" t="s">
        <v>170</v>
      </c>
    </row>
    <row r="24" spans="1:14" ht="18.75">
      <c r="A24" s="29" t="s">
        <v>171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F2D9-B728-4415-843E-CC461171FB48}">
  <dimension ref="A1:I18"/>
  <sheetViews>
    <sheetView workbookViewId="0">
      <selection activeCell="N6" sqref="N6"/>
    </sheetView>
  </sheetViews>
  <sheetFormatPr defaultRowHeight="15"/>
  <cols>
    <col min="1" max="1" width="16.140625" customWidth="1"/>
  </cols>
  <sheetData>
    <row r="1" spans="1:9">
      <c r="A1" t="s">
        <v>172</v>
      </c>
    </row>
    <row r="2" spans="1:9" ht="15.75" thickBot="1"/>
    <row r="3" spans="1:9">
      <c r="A3" s="17" t="s">
        <v>173</v>
      </c>
      <c r="B3" s="17"/>
    </row>
    <row r="4" spans="1:9">
      <c r="A4" s="14" t="s">
        <v>174</v>
      </c>
      <c r="B4" s="14">
        <v>1</v>
      </c>
    </row>
    <row r="5" spans="1:9">
      <c r="A5" s="14" t="s">
        <v>175</v>
      </c>
      <c r="B5" s="14">
        <v>1</v>
      </c>
    </row>
    <row r="6" spans="1:9">
      <c r="A6" s="14" t="s">
        <v>176</v>
      </c>
      <c r="B6" s="14">
        <v>1</v>
      </c>
    </row>
    <row r="7" spans="1:9">
      <c r="A7" s="14" t="s">
        <v>29</v>
      </c>
      <c r="B7" s="14">
        <v>0</v>
      </c>
    </row>
    <row r="8" spans="1:9" ht="15.75" thickBot="1">
      <c r="A8" s="15" t="s">
        <v>177</v>
      </c>
      <c r="B8" s="15">
        <v>4</v>
      </c>
    </row>
    <row r="10" spans="1:9" ht="15.75" thickBot="1">
      <c r="A10" t="s">
        <v>178</v>
      </c>
    </row>
    <row r="11" spans="1:9">
      <c r="A11" s="16"/>
      <c r="B11" s="16" t="s">
        <v>183</v>
      </c>
      <c r="C11" s="16" t="s">
        <v>184</v>
      </c>
      <c r="D11" s="16" t="s">
        <v>185</v>
      </c>
      <c r="E11" s="16" t="s">
        <v>186</v>
      </c>
      <c r="F11" s="16" t="s">
        <v>187</v>
      </c>
    </row>
    <row r="12" spans="1:9">
      <c r="A12" s="14" t="s">
        <v>179</v>
      </c>
      <c r="B12" s="14">
        <v>1</v>
      </c>
      <c r="C12" s="14">
        <v>500</v>
      </c>
      <c r="D12" s="14">
        <v>500</v>
      </c>
      <c r="E12" s="14" t="e">
        <v>#NUM!</v>
      </c>
      <c r="F12" s="14" t="e">
        <v>#NUM!</v>
      </c>
    </row>
    <row r="13" spans="1:9">
      <c r="A13" s="14" t="s">
        <v>180</v>
      </c>
      <c r="B13" s="14">
        <v>2</v>
      </c>
      <c r="C13" s="14">
        <v>0</v>
      </c>
      <c r="D13" s="14">
        <v>0</v>
      </c>
      <c r="E13" s="14"/>
      <c r="F13" s="14"/>
    </row>
    <row r="14" spans="1:9" ht="15.75" thickBot="1">
      <c r="A14" s="15" t="s">
        <v>181</v>
      </c>
      <c r="B14" s="15">
        <v>3</v>
      </c>
      <c r="C14" s="15">
        <v>500</v>
      </c>
      <c r="D14" s="15"/>
      <c r="E14" s="15"/>
      <c r="F14" s="15"/>
    </row>
    <row r="15" spans="1:9" ht="15.75" thickBot="1"/>
    <row r="16" spans="1:9">
      <c r="A16" s="16"/>
      <c r="B16" s="16" t="s">
        <v>188</v>
      </c>
      <c r="C16" s="16" t="s">
        <v>29</v>
      </c>
      <c r="D16" s="16" t="s">
        <v>189</v>
      </c>
      <c r="E16" s="16" t="s">
        <v>190</v>
      </c>
      <c r="F16" s="16" t="s">
        <v>191</v>
      </c>
      <c r="G16" s="16" t="s">
        <v>192</v>
      </c>
      <c r="H16" s="16" t="s">
        <v>193</v>
      </c>
      <c r="I16" s="16" t="s">
        <v>194</v>
      </c>
    </row>
    <row r="17" spans="1:9">
      <c r="A17" s="14" t="s">
        <v>182</v>
      </c>
      <c r="B17" s="14">
        <v>-10</v>
      </c>
      <c r="C17" s="14">
        <v>0</v>
      </c>
      <c r="D17" s="14">
        <v>65535</v>
      </c>
      <c r="E17" s="14" t="e">
        <v>#NUM!</v>
      </c>
      <c r="F17" s="14">
        <v>-10</v>
      </c>
      <c r="G17" s="14">
        <v>-10</v>
      </c>
      <c r="H17" s="14">
        <v>-10</v>
      </c>
      <c r="I17" s="14">
        <v>-10</v>
      </c>
    </row>
    <row r="18" spans="1:9" ht="15.75" thickBot="1">
      <c r="A18" s="15" t="s">
        <v>195</v>
      </c>
      <c r="B18" s="15">
        <v>0.2</v>
      </c>
      <c r="C18" s="15">
        <v>0</v>
      </c>
      <c r="D18" s="15">
        <v>65535</v>
      </c>
      <c r="E18" s="15" t="e">
        <v>#NUM!</v>
      </c>
      <c r="F18" s="15">
        <v>0.2</v>
      </c>
      <c r="G18" s="15">
        <v>0.2</v>
      </c>
      <c r="H18" s="15">
        <v>0.2</v>
      </c>
      <c r="I18" s="15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0FFA-6B06-4CB8-B82E-DD4551DAA9C3}">
  <dimension ref="A1:T24"/>
  <sheetViews>
    <sheetView topLeftCell="A19" workbookViewId="0">
      <selection activeCell="H23" sqref="H23"/>
    </sheetView>
  </sheetViews>
  <sheetFormatPr defaultRowHeight="15"/>
  <sheetData>
    <row r="1" spans="1:20" ht="21">
      <c r="A1" s="32" t="s">
        <v>196</v>
      </c>
    </row>
    <row r="3" spans="1:20" ht="18">
      <c r="A3" s="8" t="s">
        <v>197</v>
      </c>
    </row>
    <row r="4" spans="1:20">
      <c r="L4" s="30"/>
      <c r="M4" s="30"/>
      <c r="N4" s="30"/>
      <c r="O4" s="30"/>
      <c r="P4" s="30"/>
      <c r="Q4" s="30"/>
      <c r="R4" s="30"/>
      <c r="S4" s="30"/>
      <c r="T4" s="30"/>
    </row>
    <row r="5" spans="1:20" ht="18.75">
      <c r="A5" s="5" t="s">
        <v>198</v>
      </c>
      <c r="L5" s="30"/>
      <c r="M5" s="30"/>
      <c r="N5" s="30"/>
      <c r="O5" s="30"/>
      <c r="P5" s="30"/>
      <c r="Q5" s="30"/>
      <c r="R5" s="30"/>
      <c r="S5" s="30"/>
      <c r="T5" s="30"/>
    </row>
    <row r="6" spans="1:20">
      <c r="L6" s="30"/>
      <c r="M6" s="30"/>
      <c r="N6" s="30"/>
      <c r="O6" s="30"/>
      <c r="P6" s="30"/>
      <c r="Q6" s="30"/>
      <c r="R6" s="30"/>
      <c r="S6" s="30"/>
      <c r="T6" s="30"/>
    </row>
    <row r="7" spans="1:20" ht="18">
      <c r="A7" s="8" t="s">
        <v>60</v>
      </c>
      <c r="L7" s="30"/>
      <c r="M7" s="30"/>
      <c r="N7" s="30"/>
      <c r="O7" s="30"/>
      <c r="P7" s="30"/>
      <c r="Q7" s="30"/>
      <c r="R7" s="30"/>
      <c r="S7" s="30"/>
      <c r="T7" s="30"/>
    </row>
    <row r="8" spans="1:20" ht="15.75">
      <c r="D8" s="18" t="s">
        <v>200</v>
      </c>
      <c r="I8" s="18" t="s">
        <v>210</v>
      </c>
      <c r="L8" s="30"/>
      <c r="M8" s="30"/>
      <c r="N8" s="30"/>
      <c r="O8" s="30"/>
      <c r="P8" s="30"/>
      <c r="Q8" s="30"/>
      <c r="R8" s="30"/>
      <c r="S8" s="30"/>
      <c r="T8" s="30"/>
    </row>
    <row r="9" spans="1:20" ht="18.75">
      <c r="A9" s="33" t="s">
        <v>158</v>
      </c>
      <c r="B9" s="33" t="s">
        <v>14</v>
      </c>
      <c r="D9" s="9"/>
      <c r="I9" s="7"/>
      <c r="L9" s="30"/>
      <c r="M9" s="30"/>
      <c r="N9" s="30"/>
      <c r="O9" s="30"/>
      <c r="P9" s="30"/>
      <c r="Q9" s="30"/>
      <c r="R9" s="30"/>
      <c r="S9" s="30"/>
      <c r="T9" s="30"/>
    </row>
    <row r="10" spans="1:20" ht="18.75">
      <c r="A10" s="34" t="s">
        <v>159</v>
      </c>
      <c r="B10" s="34">
        <v>100</v>
      </c>
      <c r="D10" s="29" t="s">
        <v>201</v>
      </c>
      <c r="I10" s="36"/>
      <c r="L10" s="30"/>
      <c r="M10" s="30"/>
      <c r="N10" s="30"/>
      <c r="O10" s="30"/>
      <c r="P10" s="30"/>
      <c r="Q10" s="30"/>
      <c r="R10" s="30"/>
      <c r="S10" s="30"/>
      <c r="T10" s="30"/>
    </row>
    <row r="11" spans="1:20" ht="18.75">
      <c r="A11" s="34" t="s">
        <v>160</v>
      </c>
      <c r="B11" s="34">
        <v>120</v>
      </c>
      <c r="D11" s="29" t="s">
        <v>202</v>
      </c>
      <c r="L11" s="30"/>
      <c r="M11" s="30"/>
      <c r="N11" s="30"/>
      <c r="O11" s="30"/>
      <c r="P11" s="30"/>
      <c r="Q11" s="30"/>
      <c r="R11" s="30"/>
      <c r="S11" s="30"/>
      <c r="T11" s="30"/>
    </row>
    <row r="12" spans="1:20" ht="18.75">
      <c r="A12" s="34" t="s">
        <v>161</v>
      </c>
      <c r="B12" s="34">
        <v>140</v>
      </c>
      <c r="D12" s="29" t="s">
        <v>203</v>
      </c>
      <c r="I12" s="8" t="s">
        <v>211</v>
      </c>
      <c r="L12" s="30"/>
      <c r="M12" s="30"/>
      <c r="N12" s="30"/>
      <c r="O12" s="30"/>
      <c r="P12" s="30"/>
      <c r="Q12" s="30"/>
      <c r="R12" s="30"/>
      <c r="S12" s="30"/>
      <c r="T12" s="30"/>
    </row>
    <row r="13" spans="1:20" ht="18.75">
      <c r="A13" s="34" t="s">
        <v>162</v>
      </c>
      <c r="B13" s="34">
        <v>160</v>
      </c>
      <c r="D13" s="29" t="s">
        <v>204</v>
      </c>
      <c r="L13" s="30"/>
      <c r="M13" s="30"/>
      <c r="N13" s="30"/>
      <c r="O13" s="30"/>
      <c r="P13" s="30"/>
      <c r="Q13" s="30"/>
      <c r="R13" s="30"/>
      <c r="S13" s="30"/>
      <c r="T13" s="30"/>
    </row>
    <row r="14" spans="1:20" ht="18.75">
      <c r="A14" s="34" t="s">
        <v>199</v>
      </c>
      <c r="B14" s="34">
        <v>180</v>
      </c>
      <c r="D14" s="29" t="s">
        <v>205</v>
      </c>
      <c r="L14" s="30"/>
      <c r="M14" s="30"/>
      <c r="N14" s="30"/>
      <c r="O14" s="30"/>
      <c r="P14" s="30"/>
      <c r="Q14" s="30"/>
      <c r="R14" s="30"/>
      <c r="S14" s="30"/>
      <c r="T14" s="30"/>
    </row>
    <row r="15" spans="1:20" ht="18.75">
      <c r="D15" s="29" t="s">
        <v>206</v>
      </c>
      <c r="L15" s="30"/>
      <c r="M15" s="30"/>
      <c r="N15" s="30"/>
      <c r="O15" s="30"/>
      <c r="P15" s="30"/>
      <c r="Q15" s="30"/>
      <c r="R15" s="30"/>
      <c r="S15" s="30"/>
      <c r="T15" s="30"/>
    </row>
    <row r="16" spans="1:20">
      <c r="L16" s="30"/>
      <c r="M16" s="30"/>
      <c r="N16" s="30"/>
      <c r="O16" s="30"/>
      <c r="P16" s="30"/>
      <c r="Q16" s="30"/>
      <c r="R16" s="30"/>
      <c r="S16" s="30"/>
      <c r="T16" s="30"/>
    </row>
    <row r="17" spans="1:3" ht="18.75">
      <c r="A17" s="33" t="s">
        <v>158</v>
      </c>
      <c r="B17" s="33" t="s">
        <v>14</v>
      </c>
    </row>
    <row r="18" spans="1:3" ht="18.75">
      <c r="A18" s="34">
        <v>1</v>
      </c>
      <c r="B18" s="34">
        <v>100</v>
      </c>
    </row>
    <row r="19" spans="1:3" ht="18.75">
      <c r="A19" s="34">
        <v>2</v>
      </c>
      <c r="B19" s="34">
        <v>120</v>
      </c>
    </row>
    <row r="20" spans="1:3" ht="18.75">
      <c r="A20" s="34">
        <v>3</v>
      </c>
      <c r="B20" s="34">
        <v>140</v>
      </c>
    </row>
    <row r="21" spans="1:3" ht="18.75">
      <c r="A21" s="34">
        <v>4</v>
      </c>
      <c r="B21" s="34">
        <v>160</v>
      </c>
    </row>
    <row r="22" spans="1:3" ht="18.75">
      <c r="A22" s="34">
        <v>5</v>
      </c>
      <c r="B22" s="34">
        <v>180</v>
      </c>
    </row>
    <row r="23" spans="1:3" ht="18.75">
      <c r="A23" s="37">
        <v>6</v>
      </c>
      <c r="B23" s="3" cm="1">
        <f t="array" ref="B23">TREND(B18:B22,A18:A22,A23)</f>
        <v>200</v>
      </c>
      <c r="C23" t="s">
        <v>212</v>
      </c>
    </row>
    <row r="24" spans="1:3" ht="18.75">
      <c r="A24" s="37">
        <v>7</v>
      </c>
      <c r="B24" s="3" cm="1">
        <f t="array" ref="B24">TREND(B19:B23,A19:A23,A24)</f>
        <v>219.99999999999997</v>
      </c>
      <c r="C24" t="s">
        <v>213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83AA-EDB3-4238-8D67-EE033D229BFA}">
  <dimension ref="A1:E8"/>
  <sheetViews>
    <sheetView workbookViewId="0">
      <selection activeCell="E13" sqref="E13"/>
    </sheetView>
  </sheetViews>
  <sheetFormatPr defaultRowHeight="15"/>
  <cols>
    <col min="3" max="3" width="18" customWidth="1"/>
    <col min="4" max="5" width="32.85546875" customWidth="1"/>
  </cols>
  <sheetData>
    <row r="1" spans="1:5">
      <c r="A1" t="s">
        <v>14</v>
      </c>
      <c r="B1" t="s">
        <v>158</v>
      </c>
      <c r="C1" t="s">
        <v>207</v>
      </c>
      <c r="D1" t="s">
        <v>208</v>
      </c>
      <c r="E1" t="s">
        <v>209</v>
      </c>
    </row>
    <row r="2" spans="1:5">
      <c r="A2">
        <v>100</v>
      </c>
      <c r="B2">
        <v>1</v>
      </c>
    </row>
    <row r="3" spans="1:5">
      <c r="A3">
        <v>120</v>
      </c>
      <c r="B3">
        <v>1</v>
      </c>
    </row>
    <row r="4" spans="1:5">
      <c r="A4">
        <v>140</v>
      </c>
      <c r="B4">
        <v>1</v>
      </c>
    </row>
    <row r="5" spans="1:5">
      <c r="A5">
        <v>160</v>
      </c>
      <c r="B5">
        <v>1</v>
      </c>
    </row>
    <row r="6" spans="1:5">
      <c r="A6">
        <v>180</v>
      </c>
      <c r="B6">
        <v>1</v>
      </c>
      <c r="C6">
        <v>1</v>
      </c>
      <c r="D6" s="35">
        <v>1</v>
      </c>
      <c r="E6" s="35">
        <v>1</v>
      </c>
    </row>
    <row r="7" spans="1:5">
      <c r="A7">
        <v>200</v>
      </c>
      <c r="C7">
        <f>_xlfn.FORECAST.ETS(A7,$B$2:$B$6,$A$2:$A$6,1,1)</f>
        <v>1</v>
      </c>
      <c r="D7" s="35">
        <f>C7-_xlfn.FORECAST.ETS.CONFINT(A7,$B$2:$B$6,$A$2:$A$6,0.95,1,1)</f>
        <v>1</v>
      </c>
      <c r="E7" s="35">
        <f>C7+_xlfn.FORECAST.ETS.CONFINT(A7,$B$2:$B$6,$A$2:$A$6,0.95,1,1)</f>
        <v>1</v>
      </c>
    </row>
    <row r="8" spans="1:5">
      <c r="A8">
        <v>220</v>
      </c>
      <c r="C8">
        <f>_xlfn.FORECAST.ETS(A8,$B$2:$B$6,$A$2:$A$6,1,1)</f>
        <v>1</v>
      </c>
      <c r="D8" s="35">
        <f>C8-_xlfn.FORECAST.ETS.CONFINT(A8,$B$2:$B$6,$A$2:$A$6,0.95,1,1)</f>
        <v>1</v>
      </c>
      <c r="E8" s="35">
        <f>C8+_xlfn.FORECAST.ETS.CONFINT(A8,$B$2:$B$6,$A$2:$A$6,0.95,1,1)</f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66D2-A4E1-4D6F-8C31-22F922CD09F7}">
  <dimension ref="A1:K24"/>
  <sheetViews>
    <sheetView tabSelected="1" workbookViewId="0">
      <selection activeCell="V12" sqref="V12"/>
    </sheetView>
  </sheetViews>
  <sheetFormatPr defaultRowHeight="15"/>
  <cols>
    <col min="1" max="1" width="12.5703125" customWidth="1"/>
    <col min="3" max="3" width="12.28515625" customWidth="1"/>
  </cols>
  <sheetData>
    <row r="1" spans="1:6" ht="21">
      <c r="A1" s="1" t="s">
        <v>214</v>
      </c>
    </row>
    <row r="3" spans="1:6" ht="18">
      <c r="A3" s="8" t="s">
        <v>215</v>
      </c>
    </row>
    <row r="4" spans="1:6" ht="18.75">
      <c r="A4" s="5" t="s">
        <v>216</v>
      </c>
    </row>
    <row r="6" spans="1:6" ht="18">
      <c r="A6" s="8" t="s">
        <v>60</v>
      </c>
    </row>
    <row r="8" spans="1:6" ht="18.75">
      <c r="A8" s="6" t="s">
        <v>217</v>
      </c>
    </row>
    <row r="9" spans="1:6" ht="18.75">
      <c r="A9" s="29" t="s">
        <v>218</v>
      </c>
    </row>
    <row r="10" spans="1:6" ht="18.75">
      <c r="A10" s="29" t="s">
        <v>219</v>
      </c>
    </row>
    <row r="11" spans="1:6" ht="18.75">
      <c r="A11" s="29" t="s">
        <v>220</v>
      </c>
    </row>
    <row r="12" spans="1:6" ht="18">
      <c r="F12" s="8" t="s">
        <v>63</v>
      </c>
    </row>
    <row r="13" spans="1:6" ht="18.75">
      <c r="A13" s="8" t="s">
        <v>71</v>
      </c>
      <c r="F13" s="29" t="s">
        <v>222</v>
      </c>
    </row>
    <row r="14" spans="1:6" ht="18.75">
      <c r="F14" s="29" t="s">
        <v>223</v>
      </c>
    </row>
    <row r="15" spans="1:6" ht="21.75" customHeight="1">
      <c r="A15" s="12" t="s">
        <v>218</v>
      </c>
      <c r="B15" s="12" t="s">
        <v>219</v>
      </c>
      <c r="C15" s="12" t="s">
        <v>221</v>
      </c>
      <c r="D15" s="12" t="s">
        <v>14</v>
      </c>
      <c r="F15" s="29" t="s">
        <v>224</v>
      </c>
    </row>
    <row r="16" spans="1:6" ht="18.75">
      <c r="A16" s="13">
        <v>10</v>
      </c>
      <c r="B16" s="13">
        <v>50</v>
      </c>
      <c r="C16" s="13">
        <v>7</v>
      </c>
      <c r="D16" s="13">
        <v>100</v>
      </c>
      <c r="F16" s="29" t="s">
        <v>225</v>
      </c>
    </row>
    <row r="17" spans="1:11" ht="18.75">
      <c r="A17" s="13">
        <v>20</v>
      </c>
      <c r="B17" s="13">
        <v>45</v>
      </c>
      <c r="C17" s="13">
        <v>8</v>
      </c>
      <c r="D17" s="13">
        <v>150</v>
      </c>
      <c r="F17" s="29" t="s">
        <v>226</v>
      </c>
    </row>
    <row r="18" spans="1:11" ht="18.75">
      <c r="A18" s="13">
        <v>30</v>
      </c>
      <c r="B18" s="13">
        <v>40</v>
      </c>
      <c r="C18" s="13">
        <v>9</v>
      </c>
      <c r="D18" s="13">
        <v>220</v>
      </c>
      <c r="F18" s="29" t="s">
        <v>227</v>
      </c>
    </row>
    <row r="19" spans="1:11">
      <c r="A19" s="27">
        <v>40</v>
      </c>
      <c r="B19" s="27">
        <v>35</v>
      </c>
      <c r="C19" s="27">
        <v>10</v>
      </c>
      <c r="D19" s="27">
        <v>310</v>
      </c>
    </row>
    <row r="20" spans="1:11" ht="18">
      <c r="K20" s="8" t="s">
        <v>232</v>
      </c>
    </row>
    <row r="21" spans="1:11" ht="18.75">
      <c r="F21" s="8" t="s">
        <v>228</v>
      </c>
      <c r="K21" s="29" t="s">
        <v>233</v>
      </c>
    </row>
    <row r="22" spans="1:11" ht="18.75">
      <c r="F22" s="29" t="s">
        <v>229</v>
      </c>
      <c r="K22" s="29" t="s">
        <v>234</v>
      </c>
    </row>
    <row r="23" spans="1:11" ht="18.75">
      <c r="F23" s="29" t="s">
        <v>230</v>
      </c>
      <c r="K23" s="29" t="s">
        <v>235</v>
      </c>
    </row>
    <row r="24" spans="1:11" ht="18.75">
      <c r="F24" s="29" t="s">
        <v>231</v>
      </c>
      <c r="K24" s="29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Descriptive Statistics</vt:lpstr>
      <vt:lpstr>Sheet2</vt:lpstr>
      <vt:lpstr>Inferential Statistics</vt:lpstr>
      <vt:lpstr>Hypothesis Testing</vt:lpstr>
      <vt:lpstr>Regression Analysis</vt:lpstr>
      <vt:lpstr>Sheet6</vt:lpstr>
      <vt:lpstr>Time Series Analysis</vt:lpstr>
      <vt:lpstr>Sheet8</vt:lpstr>
      <vt:lpstr>Multivariate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amit.kamat005</dc:creator>
  <cp:lastModifiedBy>amit.kamat005</cp:lastModifiedBy>
  <dcterms:created xsi:type="dcterms:W3CDTF">2026-06-14T04:04:55Z</dcterms:created>
  <dcterms:modified xsi:type="dcterms:W3CDTF">2026-06-14T07:24:57Z</dcterms:modified>
</cp:coreProperties>
</file>
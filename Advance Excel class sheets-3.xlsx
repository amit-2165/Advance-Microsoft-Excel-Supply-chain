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CTE\10-Advanced Microsoft Excel-supply chain-Rishabh singh\"/>
    </mc:Choice>
  </mc:AlternateContent>
  <xr:revisionPtr revIDLastSave="0" documentId="13_ncr:1_{FB5FB744-2BD2-4AFD-BBA9-8FE378FD9ECA}" xr6:coauthVersionLast="47" xr6:coauthVersionMax="47" xr10:uidLastSave="{00000000-0000-0000-0000-000000000000}"/>
  <bookViews>
    <workbookView xWindow="-120" yWindow="-120" windowWidth="20730" windowHeight="11160" firstSheet="1" activeTab="3" xr2:uid="{1E2AA6DB-9A07-486D-80B6-49AE04DCE471}"/>
  </bookViews>
  <sheets>
    <sheet name="Sharing Workbooks" sheetId="1" r:id="rId1"/>
    <sheet name="Comments and Annotations" sheetId="2" r:id="rId2"/>
    <sheet name="Linking Data" sheetId="3" r:id="rId3"/>
    <sheet name="Financial Modeling" sheetId="4" r:id="rId4"/>
    <sheet name="What-If Analysi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50" i="4" l="1"/>
  <c r="E44" i="4"/>
  <c r="B44" i="4"/>
  <c r="I18" i="5"/>
  <c r="U11" i="5"/>
  <c r="B9" i="5"/>
  <c r="B10" i="5" s="1"/>
  <c r="H5" i="5"/>
  <c r="F53" i="4"/>
  <c r="F51" i="4"/>
  <c r="F52" i="4"/>
  <c r="B43" i="4"/>
  <c r="B42" i="4"/>
  <c r="E42" i="4" s="1"/>
  <c r="E41" i="4"/>
  <c r="B41" i="4"/>
  <c r="E43" i="4"/>
  <c r="D30" i="4"/>
  <c r="V21" i="4"/>
  <c r="V19" i="4"/>
  <c r="V17" i="4"/>
  <c r="V15" i="4"/>
  <c r="V13" i="4"/>
  <c r="O13" i="4"/>
  <c r="I13" i="4"/>
  <c r="U21" i="4"/>
  <c r="U19" i="4"/>
  <c r="U17" i="4"/>
  <c r="U15" i="4"/>
  <c r="U13" i="4"/>
  <c r="O12" i="4"/>
  <c r="D29" i="4"/>
  <c r="I12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tc={93BF83B0-75D1-4456-AC80-0D9AE93B8C5F}</author>
  </authors>
  <commentList>
    <comment ref="G9" authorId="0" shapeId="0" xr:uid="{93BF83B0-75D1-4456-AC80-0D9AE93B8C5F}">
      <text>
        <t>[Threaded comment]
Your version of Excel allows you to read this threaded comment; however, any edits to it will get removed if the file is opened in a newer version of Excel. Learn more: https://go.microsoft.com/fwlink/?linkid=870924
Comment:
    Avg. value</t>
      </text>
    </comment>
  </commentList>
</comments>
</file>

<file path=xl/sharedStrings.xml><?xml version="1.0" encoding="utf-8"?>
<sst xmlns="http://schemas.openxmlformats.org/spreadsheetml/2006/main" count="211" uniqueCount="197">
  <si>
    <t>Sharing Workbooks</t>
  </si>
  <si>
    <t>Sharing workbooks allows multiple users to access and work on the same Excel file.</t>
  </si>
  <si>
    <t>Steps to Share a Workbook</t>
  </si>
  <si>
    <t>1. Open the Excel workbook.</t>
  </si>
  <si>
    <t>3. Choose:</t>
  </si>
  <si>
    <t>Share with People</t>
  </si>
  <si>
    <t>Copy Link</t>
  </si>
  <si>
    <t>Email</t>
  </si>
  <si>
    <t>5. Enter email addresses of users.</t>
  </si>
  <si>
    <t>6. Set permission:</t>
  </si>
  <si>
    <t>Can Edit</t>
  </si>
  <si>
    <t>Can View</t>
  </si>
  <si>
    <r>
      <t xml:space="preserve">2. Click </t>
    </r>
    <r>
      <rPr>
        <b/>
        <sz val="14"/>
        <color rgb="FF0000CC"/>
        <rFont val="Aptos Narrow"/>
        <family val="2"/>
        <scheme val="minor"/>
      </rPr>
      <t>File</t>
    </r>
    <r>
      <rPr>
        <sz val="14"/>
        <color rgb="FF0000CC"/>
        <rFont val="Aptos Narrow"/>
        <family val="2"/>
        <scheme val="minor"/>
      </rPr>
      <t xml:space="preserve"> → </t>
    </r>
    <r>
      <rPr>
        <b/>
        <sz val="14"/>
        <color rgb="FF0000CC"/>
        <rFont val="Aptos Narrow"/>
        <family val="2"/>
        <scheme val="minor"/>
      </rPr>
      <t>Share</t>
    </r>
    <r>
      <rPr>
        <sz val="14"/>
        <color rgb="FF0000CC"/>
        <rFont val="Aptos Narrow"/>
        <family val="2"/>
        <scheme val="minor"/>
      </rPr>
      <t>.</t>
    </r>
  </si>
  <si>
    <r>
      <t xml:space="preserve">4. Save the file to </t>
    </r>
    <r>
      <rPr>
        <b/>
        <sz val="14"/>
        <color rgb="FF0000CC"/>
        <rFont val="Aptos Narrow"/>
        <family val="2"/>
        <scheme val="minor"/>
      </rPr>
      <t>OneDrive</t>
    </r>
    <r>
      <rPr>
        <sz val="14"/>
        <color rgb="FF0000CC"/>
        <rFont val="Aptos Narrow"/>
        <family val="2"/>
        <scheme val="minor"/>
      </rPr>
      <t xml:space="preserve"> if prompted.</t>
    </r>
  </si>
  <si>
    <r>
      <t xml:space="preserve">7. Click </t>
    </r>
    <r>
      <rPr>
        <b/>
        <sz val="14"/>
        <color rgb="FF0000CC"/>
        <rFont val="Aptos Narrow"/>
        <family val="2"/>
        <scheme val="minor"/>
      </rPr>
      <t>Send</t>
    </r>
    <r>
      <rPr>
        <sz val="14"/>
        <color rgb="FF0000CC"/>
        <rFont val="Aptos Narrow"/>
        <family val="2"/>
        <scheme val="minor"/>
      </rPr>
      <t>.</t>
    </r>
  </si>
  <si>
    <t>Uses</t>
  </si>
  <si>
    <t>Team collaboration</t>
  </si>
  <si>
    <t>Real-time editing</t>
  </si>
  <si>
    <t>Online access from multiple devices</t>
  </si>
  <si>
    <t>Create a Excel file and save</t>
  </si>
  <si>
    <t>open Drive in Google App</t>
  </si>
  <si>
    <t>Go to New and than file upload</t>
  </si>
  <si>
    <t>choose file and click on open (file will upload automatically)</t>
  </si>
  <si>
    <t>than go to My Drive in Drive, select Excel file which we uploaded</t>
  </si>
  <si>
    <t>Right click and the share, give gamil id and allow like-viewer,commenter, editor</t>
  </si>
  <si>
    <t>click on send</t>
  </si>
  <si>
    <t>Using Drive in google app</t>
  </si>
  <si>
    <t>Comments and Annotations</t>
  </si>
  <si>
    <t>Comments help users explain data or provide notes inside cells.</t>
  </si>
  <si>
    <t>Adding Comments</t>
  </si>
  <si>
    <t>Steps</t>
  </si>
  <si>
    <t>1. Select a cell.</t>
  </si>
  <si>
    <t>2. Right-click the cell.</t>
  </si>
  <si>
    <t>4. Type the message.</t>
  </si>
  <si>
    <t>5. Click outside the cell.</t>
  </si>
  <si>
    <r>
      <t xml:space="preserve">3. Choose </t>
    </r>
    <r>
      <rPr>
        <b/>
        <sz val="14"/>
        <color rgb="FF0000CC"/>
        <rFont val="Aptos Narrow"/>
        <family val="2"/>
        <scheme val="minor"/>
      </rPr>
      <t>New Comment</t>
    </r>
    <r>
      <rPr>
        <sz val="14"/>
        <color rgb="FF0000CC"/>
        <rFont val="Aptos Narrow"/>
        <family val="2"/>
        <scheme val="minor"/>
      </rPr>
      <t xml:space="preserve"> or </t>
    </r>
    <r>
      <rPr>
        <b/>
        <sz val="14"/>
        <color rgb="FF0000CC"/>
        <rFont val="Aptos Narrow"/>
        <family val="2"/>
        <scheme val="minor"/>
      </rPr>
      <t>New Note</t>
    </r>
    <r>
      <rPr>
        <sz val="14"/>
        <color rgb="FF0000CC"/>
        <rFont val="Aptos Narrow"/>
        <family val="2"/>
        <scheme val="minor"/>
      </rPr>
      <t>.</t>
    </r>
  </si>
  <si>
    <t>Editing Comments</t>
  </si>
  <si>
    <t>1. Right-click the commented cell.</t>
  </si>
  <si>
    <t>Deleting Comments</t>
  </si>
  <si>
    <t>1. Right-click the cell.</t>
  </si>
  <si>
    <r>
      <t xml:space="preserve">2. Select </t>
    </r>
    <r>
      <rPr>
        <b/>
        <sz val="14"/>
        <color rgb="FF0000CC"/>
        <rFont val="Aptos Narrow"/>
        <family val="2"/>
        <scheme val="minor"/>
      </rPr>
      <t>Edit Comment</t>
    </r>
    <r>
      <rPr>
        <sz val="14"/>
        <color rgb="FF0000CC"/>
        <rFont val="Aptos Narrow"/>
        <family val="2"/>
        <scheme val="minor"/>
      </rPr>
      <t>.</t>
    </r>
  </si>
  <si>
    <r>
      <t xml:space="preserve">2. Click </t>
    </r>
    <r>
      <rPr>
        <b/>
        <sz val="14"/>
        <color rgb="FF0000CC"/>
        <rFont val="Aptos Narrow"/>
        <family val="2"/>
        <scheme val="minor"/>
      </rPr>
      <t>Delete Comment</t>
    </r>
    <r>
      <rPr>
        <sz val="14"/>
        <color rgb="FF0000CC"/>
        <rFont val="Aptos Narrow"/>
        <family val="2"/>
        <scheme val="minor"/>
      </rPr>
      <t>.</t>
    </r>
  </si>
  <si>
    <t>Linking Data Between Workbooks</t>
  </si>
  <si>
    <t>Linking connects data from one workbook to another workbook automatically.</t>
  </si>
  <si>
    <t>Steps to Link Workbooks</t>
  </si>
  <si>
    <t>1. Open both Excel workbooks.</t>
  </si>
  <si>
    <t>2. Select the destination cell.</t>
  </si>
  <si>
    <t>4. Switch to the source workbook.</t>
  </si>
  <si>
    <t>5. Click the source cell.</t>
  </si>
  <si>
    <r>
      <t xml:space="preserve">3. Type </t>
    </r>
    <r>
      <rPr>
        <sz val="14"/>
        <color rgb="FF0000CC"/>
        <rFont val="Arial Unicode MS"/>
      </rPr>
      <t>=</t>
    </r>
  </si>
  <si>
    <r>
      <t xml:space="preserve">6. Press </t>
    </r>
    <r>
      <rPr>
        <b/>
        <sz val="14"/>
        <color rgb="FF0000CC"/>
        <rFont val="Aptos Narrow"/>
        <family val="2"/>
        <scheme val="minor"/>
      </rPr>
      <t>Enter</t>
    </r>
    <r>
      <rPr>
        <sz val="14"/>
        <color rgb="FF0000CC"/>
        <rFont val="Aptos Narrow"/>
        <family val="2"/>
        <scheme val="minor"/>
      </rPr>
      <t>.</t>
    </r>
  </si>
  <si>
    <t>Advantages</t>
  </si>
  <si>
    <t>Automatic data updates</t>
  </si>
  <si>
    <t>Easy report management</t>
  </si>
  <si>
    <t>Reduces duplicate work</t>
  </si>
  <si>
    <t>Module 5: Financial Modeling and Analysis in Excel</t>
  </si>
  <si>
    <t xml:space="preserve">Financial Modeling and Analysis in Microsoft Excel helps organizations evaluate investments, loans, profits, risks, and future financial performance. </t>
  </si>
  <si>
    <t>Excel provides powerful financial formulas, analysis tools, and simulation techniques for decision-making.</t>
  </si>
  <si>
    <t>Loan Amount</t>
  </si>
  <si>
    <t>Interest Rate</t>
  </si>
  <si>
    <t>Years</t>
  </si>
  <si>
    <t>EMI Formula</t>
  </si>
  <si>
    <t>PMT(10%/12,5*12,-500000)</t>
  </si>
  <si>
    <t>1. Financial Functions in Excel</t>
  </si>
  <si>
    <t>Financial functions are used to calculate investments, loans, interest, returns, and future values.</t>
  </si>
  <si>
    <t>Common Financial Functions</t>
  </si>
  <si>
    <t>Function</t>
  </si>
  <si>
    <t>Purpose</t>
  </si>
  <si>
    <t>PMT</t>
  </si>
  <si>
    <t>Calculate loan EMI/payment</t>
  </si>
  <si>
    <t>FV</t>
  </si>
  <si>
    <t>Find future value of investment</t>
  </si>
  <si>
    <t>PV</t>
  </si>
  <si>
    <t>Find present value</t>
  </si>
  <si>
    <t>RATE</t>
  </si>
  <si>
    <t>Calculate interest rate</t>
  </si>
  <si>
    <t>NPER</t>
  </si>
  <si>
    <t>Find number of periods</t>
  </si>
  <si>
    <t>IPMT</t>
  </si>
  <si>
    <t>Interest payment for a period</t>
  </si>
  <si>
    <t>PPMT</t>
  </si>
  <si>
    <t>Principal payment for a period</t>
  </si>
  <si>
    <t>1: PMT Function (Loan EMI)</t>
  </si>
  <si>
    <t>Cost</t>
  </si>
  <si>
    <t>Salvage</t>
  </si>
  <si>
    <t>Life</t>
  </si>
  <si>
    <t>Formula</t>
  </si>
  <si>
    <t>https://chatgpt.com/c/6a128197-2c18-83e9-9709-cb2d80040f07</t>
  </si>
  <si>
    <t>SLN(100000,10000,5)</t>
  </si>
  <si>
    <t>2.FV Find future value of investment</t>
  </si>
  <si>
    <t>rate</t>
  </si>
  <si>
    <t>nper</t>
  </si>
  <si>
    <t>pmt</t>
  </si>
  <si>
    <t>pv</t>
  </si>
  <si>
    <t>rate-Interest rate per period</t>
  </si>
  <si>
    <t>nper-Total number of payment periods</t>
  </si>
  <si>
    <t>pmt-Payment made each period</t>
  </si>
  <si>
    <t>pv-Present value (optional)</t>
  </si>
  <si>
    <t>type-0 = payment at end of period (default), 1 = payment at beginning</t>
  </si>
  <si>
    <t>3.PV-Find present value</t>
  </si>
  <si>
    <t>You want ₹1,00,000 after 5 years and the annual interest rate is 8%.</t>
  </si>
  <si>
    <t>per-Period for which interest is calculated</t>
  </si>
  <si>
    <t>3. Loan Amortization Schedule</t>
  </si>
  <si>
    <t>2.Depreciation Example Table</t>
  </si>
  <si>
    <t>EMI payment</t>
  </si>
  <si>
    <t>Principal amount</t>
  </si>
  <si>
    <t>Interest amount</t>
  </si>
  <si>
    <t>Remaining balance</t>
  </si>
  <si>
    <t>Loan = ₹2,00,000</t>
  </si>
  <si>
    <t>Interest = 12%</t>
  </si>
  <si>
    <t>Time = 2 Years</t>
  </si>
  <si>
    <t>Month</t>
  </si>
  <si>
    <t>EMI</t>
  </si>
  <si>
    <t>Interest</t>
  </si>
  <si>
    <t>Principal</t>
  </si>
  <si>
    <t>Balance</t>
  </si>
  <si>
    <t>PMT(12%/12,24,-200000)</t>
  </si>
  <si>
    <t>4. Monte Carlo Simulation</t>
  </si>
  <si>
    <t>Monte Carlo Simulation is used for:</t>
  </si>
  <si>
    <t>Risk analysis</t>
  </si>
  <si>
    <t>Forecasting</t>
  </si>
  <si>
    <t>Probability analysis</t>
  </si>
  <si>
    <t>Financial predictions</t>
  </si>
  <si>
    <t>It generates random values repeatedly to predict possible outcomes.</t>
  </si>
  <si>
    <t>Minimum Sales</t>
  </si>
  <si>
    <t>Maximum Sales</t>
  </si>
  <si>
    <t>random sales values</t>
  </si>
  <si>
    <t>5. Sensitivity Analysis</t>
  </si>
  <si>
    <t>Sensitivity Analysis checks how changing one variable affects results.</t>
  </si>
  <si>
    <t>Used in:</t>
  </si>
  <si>
    <t>Profit analysis</t>
  </si>
  <si>
    <t>Budget planning</t>
  </si>
  <si>
    <t>Investment analysis</t>
  </si>
  <si>
    <t>Scenario management</t>
  </si>
  <si>
    <t>Example: Profit Sensitivity</t>
  </si>
  <si>
    <t>Sales-Cost</t>
  </si>
  <si>
    <t>What-If Analysis</t>
  </si>
  <si>
    <t>Scenario Manager</t>
  </si>
  <si>
    <t>Goal Seek</t>
  </si>
  <si>
    <t>Data table</t>
  </si>
  <si>
    <t>Subjects</t>
  </si>
  <si>
    <t>Marks</t>
  </si>
  <si>
    <t>Computer Product</t>
  </si>
  <si>
    <t>Price</t>
  </si>
  <si>
    <t>Select table</t>
  </si>
  <si>
    <t>Hindi</t>
  </si>
  <si>
    <t>Go to data tab</t>
  </si>
  <si>
    <t>H3*H4</t>
  </si>
  <si>
    <t>KEYBOARD</t>
  </si>
  <si>
    <t>Go to what-if Analysis</t>
  </si>
  <si>
    <t>English</t>
  </si>
  <si>
    <t>What-if Analysis</t>
  </si>
  <si>
    <t>select complete table</t>
  </si>
  <si>
    <t>MOUSE</t>
  </si>
  <si>
    <t>select Scenario Manager</t>
  </si>
  <si>
    <t>Maths</t>
  </si>
  <si>
    <t>put on targeted cell</t>
  </si>
  <si>
    <t>go to data tab</t>
  </si>
  <si>
    <t>PRINTER</t>
  </si>
  <si>
    <t>click on add and give name of senario</t>
  </si>
  <si>
    <t>Science</t>
  </si>
  <si>
    <t>select goal seek</t>
  </si>
  <si>
    <t>go to what-if analysis</t>
  </si>
  <si>
    <t>LAPTOP</t>
  </si>
  <si>
    <t>than give value for each of changing cell</t>
  </si>
  <si>
    <t>SST</t>
  </si>
  <si>
    <t>select the value</t>
  </si>
  <si>
    <t>select data table</t>
  </si>
  <si>
    <t>CPU</t>
  </si>
  <si>
    <t>Total Marks</t>
  </si>
  <si>
    <t>select cell H3</t>
  </si>
  <si>
    <t>MODEM</t>
  </si>
  <si>
    <t>Total Percentage</t>
  </si>
  <si>
    <t>select cell H4</t>
  </si>
  <si>
    <t>than click on summary</t>
  </si>
  <si>
    <t>TOTAL</t>
  </si>
  <si>
    <t>senario summary must be selected</t>
  </si>
  <si>
    <t>To get 300 marks</t>
  </si>
  <si>
    <t>To get 60% marks</t>
  </si>
  <si>
    <t>select result cell</t>
  </si>
  <si>
    <t>select cell B9</t>
  </si>
  <si>
    <t>select cell B10</t>
  </si>
  <si>
    <t>open goal seek</t>
  </si>
  <si>
    <t>give 300 in to value</t>
  </si>
  <si>
    <t>give 60 in to value</t>
  </si>
  <si>
    <t>select cell B8</t>
  </si>
  <si>
    <t>1. Create formula for output.</t>
  </si>
  <si>
    <t>2. Enter possible input values.</t>
  </si>
  <si>
    <t>3. Select data range.</t>
  </si>
  <si>
    <t>4. Go to:</t>
  </si>
  <si>
    <t>Data Tab → What-If Analysis → Data Table</t>
  </si>
  <si>
    <t>5. Choose:</t>
  </si>
  <si>
    <t>Row input cell</t>
  </si>
  <si>
    <t>Column input cell</t>
  </si>
  <si>
    <t>6. Press OK.</t>
  </si>
  <si>
    <t>Excel automatically creates sensitivity table.</t>
  </si>
  <si>
    <t>RAND()*(5000-1000)+1000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</si>
</sst>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164" formatCode="[$₹-439]#,##0.00;[Red][$₹-439]\-#,##0.00"/>
    <numFmt numFmtId="165" formatCode="[$₹-4009]\ #,##0.00;[Red][$₹-4009]\ \-#,##0.00"/>
    <numFmt numFmtId="166" formatCode="[$₹-439]#,##0;[Red][$₹-439]#,##0"/>
    <numFmt numFmtId="167" formatCode="[$₹-4009]\ #,##0"/>
  </numFmts>
  <fonts count="19">
    <font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14"/>
      <color rgb="FF0000CC"/>
      <name val="Aptos Narrow"/>
      <family val="2"/>
      <scheme val="minor"/>
    </font>
    <font>
      <sz val="14"/>
      <color rgb="FF0000CC"/>
      <name val="Aptos Narrow"/>
      <family val="2"/>
      <scheme val="minor"/>
    </font>
    <font>
      <b/>
      <sz val="14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u/>
      <sz val="14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4"/>
      <color rgb="FF0000CC"/>
      <name val="Arial Unicode MS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theme="8"/>
      <name val="Aptos Narrow"/>
      <family val="2"/>
      <scheme val="minor"/>
    </font>
    <font>
      <sz val="11"/>
      <color rgb="FF0000CC"/>
      <name val="Aptos Narrow"/>
      <family val="2"/>
      <scheme val="minor"/>
    </font>
    <font>
      <b/>
      <sz val="11"/>
      <color rgb="FF0000CC"/>
      <name val="Aptos Narrow"/>
      <family val="2"/>
      <scheme val="minor"/>
    </font>
    <font>
      <b/>
      <sz val="12"/>
      <color rgb="FF0000CC"/>
      <name val="Segoe UI"/>
      <family val="2"/>
    </font>
    <font>
      <sz val="12"/>
      <color rgb="FF0000CC"/>
      <name val="Segoe UI"/>
      <family val="2"/>
    </font>
    <font>
      <b/>
      <sz val="12"/>
      <color theme="1"/>
      <name val="Aptos Narrow"/>
      <family val="2"/>
      <scheme val="minor"/>
    </font>
    <font>
      <sz val="14"/>
      <color rgb="FFFF0000"/>
      <name val="Aptos Narrow"/>
      <family val="2"/>
      <scheme val="minor"/>
    </font>
    <font>
      <sz val="11"/>
      <color theme="8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horizontal="left" vertical="center" indent="1"/>
    </xf>
    <xf numFmtId="0" fontId="2" fillId="0" borderId="0" xfId="0" applyFont="1" applyAlignment="1">
      <alignment horizontal="left" vertical="center" indent="2"/>
    </xf>
    <xf numFmtId="0" fontId="3" fillId="0" borderId="0" xfId="0" applyFont="1" applyAlignment="1">
      <alignment horizontal="left" vertical="center" indent="2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vertical="center"/>
    </xf>
    <xf numFmtId="0" fontId="0" fillId="0" borderId="1" xfId="0" applyBorder="1"/>
    <xf numFmtId="0" fontId="10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11" fillId="0" borderId="0" xfId="0" applyFont="1"/>
    <xf numFmtId="0" fontId="9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9" fontId="0" fillId="0" borderId="1" xfId="0" applyNumberFormat="1" applyBorder="1" applyAlignment="1">
      <alignment vertical="center" wrapText="1"/>
    </xf>
    <xf numFmtId="8" fontId="0" fillId="0" borderId="1" xfId="0" applyNumberForma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12" fillId="0" borderId="0" xfId="0" applyFont="1"/>
    <xf numFmtId="0" fontId="10" fillId="0" borderId="0" xfId="0" applyFont="1"/>
    <xf numFmtId="0" fontId="0" fillId="2" borderId="1" xfId="0" applyFill="1" applyBorder="1"/>
    <xf numFmtId="0" fontId="0" fillId="3" borderId="1" xfId="0" applyFill="1" applyBorder="1"/>
    <xf numFmtId="9" fontId="0" fillId="0" borderId="0" xfId="0" applyNumberFormat="1"/>
    <xf numFmtId="9" fontId="0" fillId="0" borderId="1" xfId="0" applyNumberFormat="1" applyBorder="1"/>
    <xf numFmtId="3" fontId="0" fillId="0" borderId="1" xfId="0" applyNumberFormat="1" applyBorder="1"/>
    <xf numFmtId="164" fontId="0" fillId="0" borderId="1" xfId="0" applyNumberFormat="1" applyBorder="1"/>
    <xf numFmtId="0" fontId="2" fillId="0" borderId="1" xfId="0" applyFont="1" applyBorder="1"/>
    <xf numFmtId="9" fontId="13" fillId="0" borderId="1" xfId="0" applyNumberFormat="1" applyFont="1" applyBorder="1"/>
    <xf numFmtId="0" fontId="10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8" fontId="5" fillId="0" borderId="1" xfId="0" applyNumberFormat="1" applyFont="1" applyBorder="1" applyAlignment="1">
      <alignment vertical="center" wrapText="1"/>
    </xf>
    <xf numFmtId="165" fontId="0" fillId="0" borderId="0" xfId="0" applyNumberFormat="1"/>
    <xf numFmtId="0" fontId="0" fillId="0" borderId="1" xfId="0" applyBorder="1" applyAlignment="1">
      <alignment horizontal="center" vertical="center" wrapText="1"/>
    </xf>
    <xf numFmtId="166" fontId="0" fillId="0" borderId="0" xfId="0" applyNumberFormat="1"/>
    <xf numFmtId="166" fontId="0" fillId="0" borderId="1" xfId="0" applyNumberFormat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0" fillId="4" borderId="1" xfId="0" applyFill="1" applyBorder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0" fillId="5" borderId="1" xfId="0" applyFill="1" applyBorder="1"/>
    <xf numFmtId="0" fontId="16" fillId="6" borderId="1" xfId="0" applyFont="1" applyFill="1" applyBorder="1" applyAlignment="1">
      <alignment horizontal="center" vertical="center"/>
    </xf>
    <xf numFmtId="0" fontId="17" fillId="0" borderId="0" xfId="0" applyFont="1"/>
    <xf numFmtId="0" fontId="0" fillId="7" borderId="1" xfId="0" applyFill="1" applyBorder="1" applyAlignment="1">
      <alignment horizontal="center"/>
    </xf>
    <xf numFmtId="167" fontId="0" fillId="7" borderId="1" xfId="0" applyNumberFormat="1" applyFill="1" applyBorder="1" applyAlignment="1">
      <alignment horizontal="center"/>
    </xf>
    <xf numFmtId="0" fontId="0" fillId="8" borderId="1" xfId="0" applyFill="1" applyBorder="1"/>
    <xf numFmtId="0" fontId="0" fillId="4" borderId="1" xfId="0" applyFill="1" applyBorder="1" applyAlignment="1">
      <alignment horizontal="center"/>
    </xf>
    <xf numFmtId="167" fontId="0" fillId="4" borderId="1" xfId="0" applyNumberFormat="1" applyFill="1" applyBorder="1" applyAlignment="1">
      <alignment horizontal="center"/>
    </xf>
    <xf numFmtId="0" fontId="0" fillId="6" borderId="1" xfId="0" applyFill="1" applyBorder="1"/>
    <xf numFmtId="0" fontId="0" fillId="9" borderId="1" xfId="0" applyFill="1" applyBorder="1"/>
    <xf numFmtId="0" fontId="12" fillId="0" borderId="0" xfId="0" applyFont="1" applyAlignment="1">
      <alignment horizontal="left" vertical="center" indent="2"/>
    </xf>
    <xf numFmtId="0" fontId="0" fillId="0" borderId="0" xfId="0" applyFill="1" applyBorder="1" applyAlignment="1">
      <alignment horizontal="center" vertical="center" wrapText="1"/>
    </xf>
    <xf numFmtId="0" fontId="1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mit.kamat005" id="{93903B3C-9B2F-43F1-9097-F56598496FAB}" userId="S::amit.kamat005@microsoft-365.us::2d3371ca-14cf-4ec5-be0a-f04c6b9293f0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9" dT="2026-05-31T15:42:11.83" personId="{93903B3C-9B2F-43F1-9097-F56598496FAB}" id="{93BF83B0-75D1-4456-AC80-0D9AE93B8C5F}">
    <text>Avg. value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18653-6C35-452D-8833-2713CC77F34C}">
  <sheetPr>
    <tabColor theme="5"/>
  </sheetPr>
  <dimension ref="A1:H22"/>
  <sheetViews>
    <sheetView workbookViewId="0">
      <selection activeCell="E7" sqref="E7"/>
    </sheetView>
  </sheetViews>
  <sheetFormatPr defaultRowHeight="15"/>
  <sheetData>
    <row r="1" spans="1:8" ht="18.75">
      <c r="A1" s="2" t="s">
        <v>0</v>
      </c>
    </row>
    <row r="3" spans="1:8" ht="18.75">
      <c r="A3" s="6" t="s">
        <v>1</v>
      </c>
    </row>
    <row r="5" spans="1:8" ht="18.75">
      <c r="A5" s="1" t="s">
        <v>2</v>
      </c>
      <c r="G5" s="9" t="s">
        <v>26</v>
      </c>
    </row>
    <row r="6" spans="1:8" ht="18.75">
      <c r="A6" s="3" t="s">
        <v>3</v>
      </c>
      <c r="F6" s="7">
        <v>1</v>
      </c>
      <c r="G6" s="6" t="s">
        <v>19</v>
      </c>
      <c r="H6" s="8"/>
    </row>
    <row r="7" spans="1:8" ht="18.75">
      <c r="A7" s="3" t="s">
        <v>12</v>
      </c>
      <c r="F7" s="7">
        <v>2</v>
      </c>
      <c r="G7" s="6" t="s">
        <v>20</v>
      </c>
      <c r="H7" s="8"/>
    </row>
    <row r="8" spans="1:8" ht="18.75">
      <c r="A8" s="3" t="s">
        <v>4</v>
      </c>
      <c r="F8" s="7">
        <v>3</v>
      </c>
      <c r="G8" s="6" t="s">
        <v>21</v>
      </c>
      <c r="H8" s="8"/>
    </row>
    <row r="9" spans="1:8" ht="18.75">
      <c r="A9" s="4" t="s">
        <v>5</v>
      </c>
      <c r="F9" s="7">
        <v>4</v>
      </c>
      <c r="G9" s="6" t="s">
        <v>22</v>
      </c>
      <c r="H9" s="8"/>
    </row>
    <row r="10" spans="1:8" ht="18.75">
      <c r="A10" s="4" t="s">
        <v>6</v>
      </c>
      <c r="F10" s="7">
        <v>5</v>
      </c>
      <c r="G10" s="6" t="s">
        <v>23</v>
      </c>
      <c r="H10" s="8"/>
    </row>
    <row r="11" spans="1:8" ht="18.75">
      <c r="A11" s="4" t="s">
        <v>7</v>
      </c>
      <c r="F11" s="7">
        <v>6</v>
      </c>
      <c r="G11" s="6" t="s">
        <v>24</v>
      </c>
      <c r="H11" s="8"/>
    </row>
    <row r="12" spans="1:8" ht="18.75">
      <c r="A12" s="3" t="s">
        <v>13</v>
      </c>
      <c r="F12" s="7">
        <v>7</v>
      </c>
      <c r="G12" s="6" t="s">
        <v>25</v>
      </c>
      <c r="H12" s="8"/>
    </row>
    <row r="13" spans="1:8" ht="18.75">
      <c r="A13" s="3" t="s">
        <v>8</v>
      </c>
    </row>
    <row r="14" spans="1:8" ht="18.75">
      <c r="A14" s="3" t="s">
        <v>9</v>
      </c>
    </row>
    <row r="15" spans="1:8" ht="18.75">
      <c r="A15" s="5" t="s">
        <v>10</v>
      </c>
    </row>
    <row r="16" spans="1:8" ht="18.75">
      <c r="A16" s="5" t="s">
        <v>11</v>
      </c>
    </row>
    <row r="17" spans="1:1" ht="18.75">
      <c r="A17" s="3" t="s">
        <v>14</v>
      </c>
    </row>
    <row r="19" spans="1:1" ht="18">
      <c r="A19" s="1" t="s">
        <v>15</v>
      </c>
    </row>
    <row r="20" spans="1:1" ht="18.75">
      <c r="A20" s="3" t="s">
        <v>16</v>
      </c>
    </row>
    <row r="21" spans="1:1" ht="18.75">
      <c r="A21" s="3" t="s">
        <v>17</v>
      </c>
    </row>
    <row r="22" spans="1:1" ht="18.75">
      <c r="A22" s="3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EBA7F-487B-4FDA-A892-C73CE1DDCED0}">
  <sheetPr>
    <tabColor theme="9"/>
  </sheetPr>
  <dimension ref="A1:G20"/>
  <sheetViews>
    <sheetView workbookViewId="0">
      <selection activeCell="I9" sqref="I9"/>
    </sheetView>
  </sheetViews>
  <sheetFormatPr defaultRowHeight="15"/>
  <sheetData>
    <row r="1" spans="1:7" ht="18.75">
      <c r="A1" s="2" t="s">
        <v>27</v>
      </c>
    </row>
    <row r="3" spans="1:7" ht="18.75">
      <c r="A3" s="6" t="s">
        <v>28</v>
      </c>
    </row>
    <row r="5" spans="1:7" ht="24">
      <c r="A5" s="10" t="s">
        <v>29</v>
      </c>
      <c r="G5" s="11">
        <v>100</v>
      </c>
    </row>
    <row r="6" spans="1:7">
      <c r="G6" s="11">
        <v>200</v>
      </c>
    </row>
    <row r="7" spans="1:7" ht="18">
      <c r="A7" s="1" t="s">
        <v>30</v>
      </c>
      <c r="G7" s="11">
        <v>300</v>
      </c>
    </row>
    <row r="8" spans="1:7" ht="18.75">
      <c r="A8" s="3" t="s">
        <v>31</v>
      </c>
      <c r="G8" s="11">
        <v>400</v>
      </c>
    </row>
    <row r="9" spans="1:7" ht="18.75">
      <c r="A9" s="3" t="s">
        <v>32</v>
      </c>
      <c r="G9" s="11">
        <v>500</v>
      </c>
    </row>
    <row r="10" spans="1:7" ht="18.75">
      <c r="A10" s="3" t="s">
        <v>35</v>
      </c>
      <c r="G10" s="11">
        <v>600</v>
      </c>
    </row>
    <row r="11" spans="1:7" ht="18.75">
      <c r="A11" s="3" t="s">
        <v>33</v>
      </c>
      <c r="G11" s="11">
        <v>700</v>
      </c>
    </row>
    <row r="12" spans="1:7" ht="18.75">
      <c r="A12" s="3" t="s">
        <v>34</v>
      </c>
      <c r="G12" s="11">
        <v>800</v>
      </c>
    </row>
    <row r="14" spans="1:7" ht="24">
      <c r="A14" s="10" t="s">
        <v>36</v>
      </c>
    </row>
    <row r="15" spans="1:7" ht="18.75">
      <c r="A15" s="3" t="s">
        <v>37</v>
      </c>
    </row>
    <row r="16" spans="1:7" ht="18.75">
      <c r="A16" s="3" t="s">
        <v>40</v>
      </c>
    </row>
    <row r="18" spans="1:1" ht="24">
      <c r="A18" s="10" t="s">
        <v>38</v>
      </c>
    </row>
    <row r="19" spans="1:1" ht="18.75">
      <c r="A19" s="3" t="s">
        <v>39</v>
      </c>
    </row>
    <row r="20" spans="1:1" ht="18.75">
      <c r="A20" s="3" t="s">
        <v>41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0E99C-6879-46A1-9471-1EF73D0F1966}">
  <sheetPr>
    <tabColor rgb="FFFF0000"/>
  </sheetPr>
  <dimension ref="A1:I17"/>
  <sheetViews>
    <sheetView workbookViewId="0">
      <selection activeCell="L12" sqref="L12"/>
    </sheetView>
  </sheetViews>
  <sheetFormatPr defaultRowHeight="15"/>
  <sheetData>
    <row r="1" spans="1:9" ht="18.75">
      <c r="A1" s="2" t="s">
        <v>42</v>
      </c>
    </row>
    <row r="3" spans="1:9" ht="18.75">
      <c r="A3" s="6" t="s">
        <v>43</v>
      </c>
    </row>
    <row r="5" spans="1:9" ht="24">
      <c r="A5" s="10" t="s">
        <v>44</v>
      </c>
      <c r="G5" s="24">
        <v>100</v>
      </c>
      <c r="I5" s="23"/>
    </row>
    <row r="6" spans="1:9" ht="18.75">
      <c r="A6" s="3" t="s">
        <v>45</v>
      </c>
      <c r="G6" s="24">
        <v>500</v>
      </c>
      <c r="I6" s="23"/>
    </row>
    <row r="7" spans="1:9" ht="18.75">
      <c r="A7" s="3" t="s">
        <v>46</v>
      </c>
      <c r="G7" s="24">
        <v>1000</v>
      </c>
      <c r="I7" s="23"/>
    </row>
    <row r="8" spans="1:9" ht="18.75">
      <c r="A8" s="3" t="s">
        <v>49</v>
      </c>
      <c r="G8" s="24">
        <v>2000</v>
      </c>
      <c r="I8" s="23"/>
    </row>
    <row r="9" spans="1:9" ht="18.75">
      <c r="A9" s="3" t="s">
        <v>47</v>
      </c>
      <c r="G9" s="24"/>
      <c r="I9" s="23"/>
    </row>
    <row r="10" spans="1:9" ht="18.75">
      <c r="A10" s="3" t="s">
        <v>48</v>
      </c>
      <c r="G10" s="24"/>
      <c r="I10" s="23"/>
    </row>
    <row r="11" spans="1:9" ht="18.75">
      <c r="A11" s="3" t="s">
        <v>50</v>
      </c>
      <c r="G11" s="24"/>
      <c r="I11" s="23"/>
    </row>
    <row r="14" spans="1:9" ht="18.75">
      <c r="A14" s="12" t="s">
        <v>51</v>
      </c>
    </row>
    <row r="15" spans="1:9" ht="18.75">
      <c r="A15" s="13" t="s">
        <v>52</v>
      </c>
    </row>
    <row r="16" spans="1:9" ht="18.75">
      <c r="A16" s="13" t="s">
        <v>53</v>
      </c>
    </row>
    <row r="17" spans="1:1" ht="18.75">
      <c r="A17" s="13" t="s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AF887-0958-44CB-8F30-579E995AA699}">
  <sheetPr>
    <tabColor rgb="FFFFFF00"/>
  </sheetPr>
  <dimension ref="A1:V82"/>
  <sheetViews>
    <sheetView tabSelected="1" topLeftCell="A46" zoomScale="130" zoomScaleNormal="130" workbookViewId="0">
      <selection activeCell="E55" sqref="E55"/>
    </sheetView>
  </sheetViews>
  <sheetFormatPr defaultRowHeight="15"/>
  <cols>
    <col min="1" max="1" width="9.85546875" bestFit="1" customWidth="1"/>
    <col min="2" max="2" width="28.140625" customWidth="1"/>
    <col min="3" max="3" width="9.28515625" bestFit="1" customWidth="1"/>
    <col min="4" max="4" width="15.140625" customWidth="1"/>
    <col min="5" max="5" width="19.5703125" bestFit="1" customWidth="1"/>
    <col min="6" max="6" width="9.85546875" bestFit="1" customWidth="1"/>
    <col min="9" max="9" width="11.5703125" bestFit="1" customWidth="1"/>
    <col min="12" max="12" width="10.5703125" bestFit="1" customWidth="1"/>
    <col min="14" max="14" width="10.5703125" bestFit="1" customWidth="1"/>
    <col min="15" max="15" width="16.28515625" bestFit="1" customWidth="1"/>
    <col min="21" max="22" width="11.5703125" bestFit="1" customWidth="1"/>
  </cols>
  <sheetData>
    <row r="1" spans="1:22" ht="18.75">
      <c r="A1" s="2" t="s">
        <v>55</v>
      </c>
    </row>
    <row r="3" spans="1:22" ht="18.75">
      <c r="A3" s="6" t="s">
        <v>56</v>
      </c>
    </row>
    <row r="4" spans="1:22" ht="18.75">
      <c r="A4" s="6" t="s">
        <v>57</v>
      </c>
    </row>
    <row r="6" spans="1:22">
      <c r="A6" t="s">
        <v>63</v>
      </c>
    </row>
    <row r="7" spans="1:22">
      <c r="A7" s="21" t="s">
        <v>64</v>
      </c>
    </row>
    <row r="9" spans="1:22" ht="24">
      <c r="A9" s="10" t="s">
        <v>65</v>
      </c>
    </row>
    <row r="10" spans="1:22" ht="18.75">
      <c r="F10" s="22" t="s">
        <v>82</v>
      </c>
      <c r="K10" s="22" t="s">
        <v>89</v>
      </c>
      <c r="T10" s="22" t="s">
        <v>99</v>
      </c>
    </row>
    <row r="11" spans="1:22" ht="30">
      <c r="A11" s="16" t="s">
        <v>66</v>
      </c>
      <c r="B11" s="16" t="s">
        <v>67</v>
      </c>
      <c r="F11" s="16" t="s">
        <v>58</v>
      </c>
      <c r="G11" s="16" t="s">
        <v>59</v>
      </c>
      <c r="H11" s="16" t="s">
        <v>60</v>
      </c>
      <c r="I11" s="16" t="s">
        <v>61</v>
      </c>
      <c r="K11" s="16" t="s">
        <v>90</v>
      </c>
      <c r="L11" s="16" t="s">
        <v>91</v>
      </c>
      <c r="M11" s="16" t="s">
        <v>92</v>
      </c>
      <c r="N11" s="16" t="s">
        <v>93</v>
      </c>
      <c r="O11" s="16" t="s">
        <v>70</v>
      </c>
      <c r="T11" s="2" t="s">
        <v>100</v>
      </c>
    </row>
    <row r="12" spans="1:22" ht="21.75" customHeight="1">
      <c r="A12" s="20" t="s">
        <v>68</v>
      </c>
      <c r="B12" s="20" t="s">
        <v>69</v>
      </c>
      <c r="F12" s="17">
        <v>500000</v>
      </c>
      <c r="G12" s="18">
        <v>0.1</v>
      </c>
      <c r="H12" s="17">
        <v>5</v>
      </c>
      <c r="I12" s="19">
        <f>PMT(G12/12,H12*12,-F12)</f>
        <v>10623.522355634139</v>
      </c>
      <c r="K12" s="26">
        <v>0.08</v>
      </c>
      <c r="L12" s="11">
        <v>10</v>
      </c>
      <c r="M12" s="27">
        <v>5000</v>
      </c>
      <c r="N12" s="16">
        <v>0</v>
      </c>
      <c r="O12" s="28">
        <f>FV(K12/100,120,-M12,N12)</f>
        <v>629480.11366648483</v>
      </c>
    </row>
    <row r="13" spans="1:22" ht="21.75" customHeight="1">
      <c r="A13" s="20" t="s">
        <v>70</v>
      </c>
      <c r="B13" s="20" t="s">
        <v>71</v>
      </c>
      <c r="I13" s="34">
        <f>PMT(G12/12,5*12,-500000)</f>
        <v>10623.522355634139</v>
      </c>
      <c r="O13" s="28">
        <f>FV(K12/100,L12*12,-M12,0)</f>
        <v>629480.11366648483</v>
      </c>
      <c r="T13" s="29" t="s">
        <v>72</v>
      </c>
      <c r="U13" s="28">
        <f>PV(8%,5,0,-100000)</f>
        <v>68058.319703375295</v>
      </c>
      <c r="V13" s="28">
        <f>PV(8%,5,0,-100000)</f>
        <v>68058.319703375295</v>
      </c>
    </row>
    <row r="14" spans="1:22" ht="21.75" customHeight="1">
      <c r="A14" s="20" t="s">
        <v>72</v>
      </c>
      <c r="B14" s="20" t="s">
        <v>73</v>
      </c>
      <c r="F14" s="15" t="s">
        <v>62</v>
      </c>
      <c r="K14" s="13" t="s">
        <v>94</v>
      </c>
      <c r="L14" s="14"/>
    </row>
    <row r="15" spans="1:22" ht="21.75" customHeight="1">
      <c r="A15" s="20" t="s">
        <v>74</v>
      </c>
      <c r="B15" s="20" t="s">
        <v>75</v>
      </c>
      <c r="K15" s="13" t="s">
        <v>95</v>
      </c>
      <c r="L15" s="14"/>
      <c r="T15" s="30" t="s">
        <v>74</v>
      </c>
      <c r="U15" s="26">
        <f>RATE(5,0,68058,-100000)</f>
        <v>8.0001014661014377E-2</v>
      </c>
      <c r="V15" s="25">
        <f>RATE(5,0,68058.32,-100000)</f>
        <v>7.9999999058587859E-2</v>
      </c>
    </row>
    <row r="16" spans="1:22" ht="21.75" customHeight="1">
      <c r="A16" s="20" t="s">
        <v>76</v>
      </c>
      <c r="B16" s="20" t="s">
        <v>77</v>
      </c>
      <c r="K16" s="13" t="s">
        <v>96</v>
      </c>
      <c r="L16" s="14"/>
    </row>
    <row r="17" spans="1:22" ht="21.75" customHeight="1">
      <c r="A17" s="20" t="s">
        <v>78</v>
      </c>
      <c r="B17" s="20" t="s">
        <v>79</v>
      </c>
      <c r="K17" s="13" t="s">
        <v>97</v>
      </c>
      <c r="L17" s="14"/>
      <c r="T17" s="30" t="s">
        <v>76</v>
      </c>
      <c r="U17" s="11">
        <f>NPER(8%,5,68058.32,-100000)</f>
        <v>4.9961914726963412</v>
      </c>
      <c r="V17">
        <f>NPER(8%,0,68058.32,-100000)</f>
        <v>4.999999943368878</v>
      </c>
    </row>
    <row r="18" spans="1:22" ht="21.75" customHeight="1">
      <c r="A18" s="20" t="s">
        <v>80</v>
      </c>
      <c r="B18" s="20" t="s">
        <v>81</v>
      </c>
      <c r="K18" s="13" t="s">
        <v>98</v>
      </c>
      <c r="L18" s="14"/>
    </row>
    <row r="19" spans="1:22" ht="18.75">
      <c r="K19" s="13" t="s">
        <v>101</v>
      </c>
      <c r="T19" s="30" t="s">
        <v>78</v>
      </c>
      <c r="U19" s="28">
        <f>IPMT(8%/12,1,5*12,-100000)</f>
        <v>666.66666666666686</v>
      </c>
      <c r="V19" s="28">
        <f>IPMT(8%/12,1,5*12,-100000)</f>
        <v>666.66666666666686</v>
      </c>
    </row>
    <row r="20" spans="1:22" ht="18.75">
      <c r="K20" s="13"/>
    </row>
    <row r="21" spans="1:22">
      <c r="T21" s="30" t="s">
        <v>80</v>
      </c>
      <c r="U21" s="28">
        <f>PPMT(8%,1,5*12,68058.32,-100000)</f>
        <v>25.487824064765302</v>
      </c>
      <c r="V21" s="28">
        <f>PPMT(8%,1,5*12,68058.32,-100000)</f>
        <v>25.487824064765302</v>
      </c>
    </row>
    <row r="24" spans="1:22">
      <c r="A24" t="s">
        <v>87</v>
      </c>
    </row>
    <row r="26" spans="1:22" ht="24">
      <c r="A26" s="10" t="s">
        <v>103</v>
      </c>
    </row>
    <row r="28" spans="1:22" ht="18.75">
      <c r="A28" s="31" t="s">
        <v>83</v>
      </c>
      <c r="B28" s="31" t="s">
        <v>84</v>
      </c>
      <c r="C28" s="31" t="s">
        <v>85</v>
      </c>
      <c r="D28" s="31" t="s">
        <v>86</v>
      </c>
    </row>
    <row r="29" spans="1:22" ht="18.75">
      <c r="A29" s="32">
        <v>100000</v>
      </c>
      <c r="B29" s="32">
        <v>10000</v>
      </c>
      <c r="C29" s="32">
        <v>5</v>
      </c>
      <c r="D29" s="33">
        <f>SLN(100000,10000,5)</f>
        <v>18000</v>
      </c>
    </row>
    <row r="30" spans="1:22">
      <c r="D30" s="34">
        <f>SLN(A29,B29,C29)</f>
        <v>18000</v>
      </c>
    </row>
    <row r="31" spans="1:22">
      <c r="A31" s="15" t="s">
        <v>88</v>
      </c>
    </row>
    <row r="34" spans="1:6" ht="24.75" customHeight="1">
      <c r="A34" s="10" t="s">
        <v>102</v>
      </c>
    </row>
    <row r="35" spans="1:6">
      <c r="A35" s="21" t="s">
        <v>104</v>
      </c>
      <c r="B35" s="21"/>
      <c r="C35" s="21" t="s">
        <v>108</v>
      </c>
    </row>
    <row r="36" spans="1:6">
      <c r="A36" s="21" t="s">
        <v>105</v>
      </c>
      <c r="B36" s="21"/>
      <c r="C36" s="21" t="s">
        <v>109</v>
      </c>
    </row>
    <row r="37" spans="1:6">
      <c r="A37" s="21" t="s">
        <v>106</v>
      </c>
      <c r="B37" s="21"/>
      <c r="C37" s="21" t="s">
        <v>110</v>
      </c>
    </row>
    <row r="38" spans="1:6">
      <c r="A38" s="21" t="s">
        <v>107</v>
      </c>
      <c r="B38" s="21"/>
      <c r="C38" s="21"/>
    </row>
    <row r="40" spans="1:6">
      <c r="A40" s="16" t="s">
        <v>111</v>
      </c>
      <c r="B40" s="16" t="s">
        <v>112</v>
      </c>
      <c r="C40" s="16" t="s">
        <v>113</v>
      </c>
      <c r="D40" s="16" t="s">
        <v>114</v>
      </c>
      <c r="E40" s="16" t="s">
        <v>115</v>
      </c>
    </row>
    <row r="41" spans="1:6">
      <c r="A41" s="35">
        <v>1</v>
      </c>
      <c r="B41" s="37">
        <f>PMT(12%/12,24,-200000)</f>
        <v>9414.6944446529396</v>
      </c>
      <c r="C41" s="38">
        <v>0.12</v>
      </c>
      <c r="D41" s="35">
        <v>200000</v>
      </c>
      <c r="E41" s="37">
        <f>D41-B41</f>
        <v>190585.30555534706</v>
      </c>
      <c r="F41" s="36"/>
    </row>
    <row r="42" spans="1:6">
      <c r="A42" s="35">
        <v>2</v>
      </c>
      <c r="B42" s="37">
        <f>PMT(12%/12,23,-190585)</f>
        <v>9316.9078272096795</v>
      </c>
      <c r="C42" s="38">
        <v>0.12</v>
      </c>
      <c r="D42" s="35">
        <v>192586</v>
      </c>
      <c r="E42" s="37">
        <f>D42-B42</f>
        <v>183269.09217279032</v>
      </c>
      <c r="F42" s="36"/>
    </row>
    <row r="43" spans="1:6">
      <c r="A43" s="35">
        <v>3</v>
      </c>
      <c r="B43" s="37">
        <f>PMT(12%/12,22,-183269)</f>
        <v>9321.7428217720153</v>
      </c>
      <c r="C43" s="38">
        <v>0.12</v>
      </c>
      <c r="D43" s="35">
        <v>183171</v>
      </c>
      <c r="E43" s="37">
        <f>D43-B43</f>
        <v>173849.257178228</v>
      </c>
      <c r="F43" s="36"/>
    </row>
    <row r="44" spans="1:6">
      <c r="B44" s="37">
        <f>PMT(12%/12,20,-E43)</f>
        <v>9633.9113300199515</v>
      </c>
      <c r="C44" s="25">
        <v>0.12</v>
      </c>
      <c r="D44" s="56">
        <v>173849</v>
      </c>
      <c r="E44" s="36">
        <f>D44-B44</f>
        <v>164215.08866998006</v>
      </c>
    </row>
    <row r="45" spans="1:6">
      <c r="A45" s="15" t="s">
        <v>116</v>
      </c>
    </row>
    <row r="47" spans="1:6" ht="24">
      <c r="A47" s="10" t="s">
        <v>117</v>
      </c>
    </row>
    <row r="48" spans="1:6">
      <c r="A48" s="21" t="s">
        <v>118</v>
      </c>
      <c r="E48" s="41" t="s">
        <v>124</v>
      </c>
      <c r="F48" s="41">
        <v>1000</v>
      </c>
    </row>
    <row r="49" spans="1:6">
      <c r="A49" s="40"/>
      <c r="E49" s="41" t="s">
        <v>125</v>
      </c>
      <c r="F49" s="41">
        <v>5000</v>
      </c>
    </row>
    <row r="50" spans="1:6">
      <c r="A50" s="40" t="s">
        <v>119</v>
      </c>
      <c r="E50" s="24" t="s">
        <v>126</v>
      </c>
      <c r="F50" s="24">
        <f ca="1">RAND()*(5000-1000)+1000</f>
        <v>1441.9728228346096</v>
      </c>
    </row>
    <row r="51" spans="1:6">
      <c r="A51" s="40" t="s">
        <v>120</v>
      </c>
      <c r="E51" s="24" t="s">
        <v>126</v>
      </c>
      <c r="F51" s="24">
        <f t="shared" ref="F51:F52" ca="1" si="0">RAND()*(5000-1000)+1000</f>
        <v>1320.8185689634638</v>
      </c>
    </row>
    <row r="52" spans="1:6">
      <c r="A52" s="40" t="s">
        <v>121</v>
      </c>
      <c r="E52" s="24" t="s">
        <v>126</v>
      </c>
      <c r="F52" s="24">
        <f t="shared" ca="1" si="0"/>
        <v>3168.9501725148575</v>
      </c>
    </row>
    <row r="53" spans="1:6">
      <c r="A53" s="40" t="s">
        <v>122</v>
      </c>
      <c r="E53" s="24" t="s">
        <v>126</v>
      </c>
      <c r="F53" s="24">
        <f ca="1">RAND()*(5000-1000)+1000</f>
        <v>3418.0963915687148</v>
      </c>
    </row>
    <row r="55" spans="1:6">
      <c r="A55" s="21" t="s">
        <v>123</v>
      </c>
      <c r="E55" s="57" t="s">
        <v>196</v>
      </c>
    </row>
    <row r="57" spans="1:6" ht="24">
      <c r="A57" s="10" t="s">
        <v>127</v>
      </c>
    </row>
    <row r="58" spans="1:6">
      <c r="A58" s="21" t="s">
        <v>128</v>
      </c>
    </row>
    <row r="60" spans="1:6">
      <c r="A60" s="21" t="s">
        <v>129</v>
      </c>
    </row>
    <row r="61" spans="1:6">
      <c r="A61" s="40"/>
    </row>
    <row r="62" spans="1:6">
      <c r="A62" s="40" t="s">
        <v>130</v>
      </c>
    </row>
    <row r="63" spans="1:6">
      <c r="A63" s="40" t="s">
        <v>131</v>
      </c>
    </row>
    <row r="64" spans="1:6">
      <c r="A64" s="40" t="s">
        <v>132</v>
      </c>
    </row>
    <row r="65" spans="1:1">
      <c r="A65" s="40" t="s">
        <v>133</v>
      </c>
    </row>
    <row r="67" spans="1:1">
      <c r="A67" t="s">
        <v>134</v>
      </c>
    </row>
    <row r="68" spans="1:1">
      <c r="A68" s="42" t="s">
        <v>135</v>
      </c>
    </row>
    <row r="70" spans="1:1" ht="24">
      <c r="A70" s="10" t="s">
        <v>30</v>
      </c>
    </row>
    <row r="71" spans="1:1">
      <c r="A71" s="39"/>
    </row>
    <row r="72" spans="1:1">
      <c r="A72" s="40" t="s">
        <v>186</v>
      </c>
    </row>
    <row r="73" spans="1:1">
      <c r="A73" s="40" t="s">
        <v>187</v>
      </c>
    </row>
    <row r="74" spans="1:1">
      <c r="A74" s="40" t="s">
        <v>188</v>
      </c>
    </row>
    <row r="75" spans="1:1">
      <c r="A75" s="40" t="s">
        <v>189</v>
      </c>
    </row>
    <row r="76" spans="1:1">
      <c r="A76" s="55" t="s">
        <v>190</v>
      </c>
    </row>
    <row r="77" spans="1:1">
      <c r="A77" s="40" t="s">
        <v>191</v>
      </c>
    </row>
    <row r="78" spans="1:1">
      <c r="A78" s="55" t="s">
        <v>192</v>
      </c>
    </row>
    <row r="79" spans="1:1">
      <c r="A79" s="55" t="s">
        <v>193</v>
      </c>
    </row>
    <row r="80" spans="1:1">
      <c r="A80" s="40" t="s">
        <v>194</v>
      </c>
    </row>
    <row r="81" spans="1:1">
      <c r="A81" s="21"/>
    </row>
    <row r="82" spans="1:1">
      <c r="A82" s="21" t="s">
        <v>195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A4E12-303E-42BB-9FCC-A215639B29D1}">
  <sheetPr>
    <tabColor rgb="FF00B0F0"/>
  </sheetPr>
  <dimension ref="A1:W27"/>
  <sheetViews>
    <sheetView workbookViewId="0">
      <selection activeCell="G16" sqref="G16"/>
    </sheetView>
  </sheetViews>
  <sheetFormatPr defaultRowHeight="15"/>
  <cols>
    <col min="1" max="1" width="15.5703125" customWidth="1"/>
    <col min="2" max="2" width="10.85546875" customWidth="1"/>
    <col min="8" max="8" width="10" bestFit="1" customWidth="1"/>
    <col min="20" max="20" width="20.7109375" customWidth="1"/>
    <col min="21" max="21" width="16.140625" customWidth="1"/>
  </cols>
  <sheetData>
    <row r="1" spans="1:23" ht="17.25">
      <c r="A1" s="43" t="s">
        <v>136</v>
      </c>
      <c r="T1" s="44" t="s">
        <v>137</v>
      </c>
    </row>
    <row r="2" spans="1:23" ht="17.25">
      <c r="A2" s="44" t="s">
        <v>138</v>
      </c>
      <c r="H2" s="44" t="s">
        <v>139</v>
      </c>
    </row>
    <row r="3" spans="1:23" ht="15.75">
      <c r="A3" s="45" t="s">
        <v>140</v>
      </c>
      <c r="B3" s="45" t="s">
        <v>141</v>
      </c>
      <c r="H3">
        <v>1</v>
      </c>
      <c r="T3" s="46" t="s">
        <v>142</v>
      </c>
      <c r="U3" s="46" t="s">
        <v>143</v>
      </c>
      <c r="W3" s="21" t="s">
        <v>144</v>
      </c>
    </row>
    <row r="4" spans="1:23" ht="18.75">
      <c r="A4" s="11" t="s">
        <v>145</v>
      </c>
      <c r="B4" s="11">
        <v>66</v>
      </c>
      <c r="D4" s="21" t="s">
        <v>146</v>
      </c>
      <c r="H4">
        <v>1</v>
      </c>
      <c r="Q4" s="47" t="s">
        <v>147</v>
      </c>
      <c r="T4" s="48" t="s">
        <v>148</v>
      </c>
      <c r="U4" s="49">
        <v>300</v>
      </c>
      <c r="W4" s="21" t="s">
        <v>149</v>
      </c>
    </row>
    <row r="5" spans="1:23">
      <c r="A5" s="11" t="s">
        <v>150</v>
      </c>
      <c r="B5" s="11">
        <v>60</v>
      </c>
      <c r="D5" s="21" t="s">
        <v>151</v>
      </c>
      <c r="H5" s="50">
        <f>H3*H4</f>
        <v>1</v>
      </c>
      <c r="I5" s="50">
        <v>2</v>
      </c>
      <c r="J5" s="50">
        <v>3</v>
      </c>
      <c r="K5" s="50">
        <v>4</v>
      </c>
      <c r="L5" s="50">
        <v>5</v>
      </c>
      <c r="M5" s="50">
        <v>6</v>
      </c>
      <c r="N5" s="50">
        <v>7</v>
      </c>
      <c r="O5" s="50">
        <v>8</v>
      </c>
      <c r="Q5" s="21" t="s">
        <v>152</v>
      </c>
      <c r="T5" s="48" t="s">
        <v>153</v>
      </c>
      <c r="U5" s="49">
        <v>200</v>
      </c>
      <c r="W5" s="21" t="s">
        <v>154</v>
      </c>
    </row>
    <row r="6" spans="1:23">
      <c r="A6" s="11" t="s">
        <v>155</v>
      </c>
      <c r="B6" s="11">
        <v>50</v>
      </c>
      <c r="D6" s="21" t="s">
        <v>156</v>
      </c>
      <c r="H6" s="50">
        <v>2</v>
      </c>
      <c r="I6" s="50">
        <v>4</v>
      </c>
      <c r="J6" s="50">
        <v>6</v>
      </c>
      <c r="K6" s="50">
        <v>8</v>
      </c>
      <c r="L6" s="50">
        <v>10</v>
      </c>
      <c r="M6" s="50">
        <v>12</v>
      </c>
      <c r="N6" s="50">
        <v>14</v>
      </c>
      <c r="O6" s="50">
        <v>16</v>
      </c>
      <c r="Q6" s="21" t="s">
        <v>157</v>
      </c>
      <c r="T6" s="48" t="s">
        <v>158</v>
      </c>
      <c r="U6" s="49">
        <v>3000</v>
      </c>
      <c r="W6" s="21" t="s">
        <v>159</v>
      </c>
    </row>
    <row r="7" spans="1:23">
      <c r="A7" s="11" t="s">
        <v>160</v>
      </c>
      <c r="B7" s="11">
        <v>63.999999999999993</v>
      </c>
      <c r="D7" s="21" t="s">
        <v>161</v>
      </c>
      <c r="H7" s="50">
        <v>3</v>
      </c>
      <c r="I7" s="50">
        <v>6</v>
      </c>
      <c r="J7" s="50">
        <v>9</v>
      </c>
      <c r="K7" s="50">
        <v>12</v>
      </c>
      <c r="L7" s="50">
        <v>15</v>
      </c>
      <c r="M7" s="50">
        <v>18</v>
      </c>
      <c r="N7" s="50">
        <v>21</v>
      </c>
      <c r="O7" s="50">
        <v>24</v>
      </c>
      <c r="Q7" s="21" t="s">
        <v>162</v>
      </c>
      <c r="T7" s="48" t="s">
        <v>163</v>
      </c>
      <c r="U7" s="49">
        <v>30000</v>
      </c>
      <c r="W7" s="21" t="s">
        <v>164</v>
      </c>
    </row>
    <row r="8" spans="1:23">
      <c r="A8" s="11" t="s">
        <v>165</v>
      </c>
      <c r="B8" s="11">
        <v>59.999999999999957</v>
      </c>
      <c r="D8" s="21" t="s">
        <v>166</v>
      </c>
      <c r="H8" s="50">
        <v>4</v>
      </c>
      <c r="I8" s="50">
        <v>8</v>
      </c>
      <c r="J8" s="50">
        <v>12</v>
      </c>
      <c r="K8" s="50">
        <v>16</v>
      </c>
      <c r="L8" s="50">
        <v>20</v>
      </c>
      <c r="M8" s="50">
        <v>24</v>
      </c>
      <c r="N8" s="50">
        <v>28</v>
      </c>
      <c r="O8" s="50">
        <v>32</v>
      </c>
      <c r="Q8" s="21" t="s">
        <v>167</v>
      </c>
      <c r="T8" s="48" t="s">
        <v>168</v>
      </c>
      <c r="U8" s="49">
        <v>5000</v>
      </c>
      <c r="W8" s="21" t="s">
        <v>159</v>
      </c>
    </row>
    <row r="9" spans="1:23">
      <c r="A9" s="24" t="s">
        <v>169</v>
      </c>
      <c r="B9" s="24">
        <f>SUM(B4:B8)</f>
        <v>299.99999999999994</v>
      </c>
      <c r="H9" s="50">
        <v>5</v>
      </c>
      <c r="I9" s="50">
        <v>10</v>
      </c>
      <c r="J9" s="50">
        <v>15</v>
      </c>
      <c r="K9" s="50">
        <v>20</v>
      </c>
      <c r="L9" s="50">
        <v>25</v>
      </c>
      <c r="M9" s="50">
        <v>30</v>
      </c>
      <c r="N9" s="50">
        <v>35</v>
      </c>
      <c r="O9" s="50">
        <v>40</v>
      </c>
      <c r="Q9" s="21" t="s">
        <v>170</v>
      </c>
      <c r="T9" s="48" t="s">
        <v>171</v>
      </c>
      <c r="U9" s="49">
        <v>3000</v>
      </c>
      <c r="W9" s="21" t="s">
        <v>164</v>
      </c>
    </row>
    <row r="10" spans="1:23">
      <c r="A10" s="24" t="s">
        <v>172</v>
      </c>
      <c r="B10" s="24">
        <f>(B9/500)*100</f>
        <v>59.999999999999986</v>
      </c>
      <c r="H10" s="50">
        <v>6</v>
      </c>
      <c r="I10" s="50">
        <v>12</v>
      </c>
      <c r="J10" s="50">
        <v>18</v>
      </c>
      <c r="K10" s="50">
        <v>24</v>
      </c>
      <c r="L10" s="50">
        <v>30</v>
      </c>
      <c r="M10" s="50">
        <v>36</v>
      </c>
      <c r="N10" s="50">
        <v>42</v>
      </c>
      <c r="O10" s="50">
        <v>48</v>
      </c>
      <c r="Q10" s="21" t="s">
        <v>173</v>
      </c>
      <c r="T10" s="48"/>
      <c r="U10" s="49"/>
      <c r="W10" s="21" t="s">
        <v>174</v>
      </c>
    </row>
    <row r="11" spans="1:23">
      <c r="H11" s="50">
        <v>7</v>
      </c>
      <c r="I11" s="50">
        <v>14</v>
      </c>
      <c r="J11" s="50">
        <v>21</v>
      </c>
      <c r="K11" s="50">
        <v>28</v>
      </c>
      <c r="L11" s="50">
        <v>35</v>
      </c>
      <c r="M11" s="50">
        <v>42</v>
      </c>
      <c r="N11" s="50">
        <v>49</v>
      </c>
      <c r="O11" s="50">
        <v>56</v>
      </c>
      <c r="T11" s="51" t="s">
        <v>175</v>
      </c>
      <c r="U11" s="52">
        <f>SUM(U4:U9)</f>
        <v>41500</v>
      </c>
      <c r="W11" s="21" t="s">
        <v>176</v>
      </c>
    </row>
    <row r="12" spans="1:23">
      <c r="A12" s="21" t="s">
        <v>177</v>
      </c>
      <c r="C12" s="21" t="s">
        <v>178</v>
      </c>
      <c r="H12" s="50">
        <v>8</v>
      </c>
      <c r="I12" s="50">
        <v>16</v>
      </c>
      <c r="J12" s="50">
        <v>24</v>
      </c>
      <c r="K12" s="50">
        <v>32</v>
      </c>
      <c r="L12" s="50">
        <v>40</v>
      </c>
      <c r="M12" s="50">
        <v>48</v>
      </c>
      <c r="N12" s="50">
        <v>56</v>
      </c>
      <c r="O12" s="50">
        <v>64</v>
      </c>
      <c r="W12" s="21" t="s">
        <v>179</v>
      </c>
    </row>
    <row r="13" spans="1:23">
      <c r="A13" s="21" t="s">
        <v>180</v>
      </c>
      <c r="C13" s="21" t="s">
        <v>181</v>
      </c>
      <c r="H13" s="50">
        <v>9</v>
      </c>
      <c r="I13" s="50">
        <v>18</v>
      </c>
      <c r="J13" s="50">
        <v>27</v>
      </c>
      <c r="K13" s="50">
        <v>36</v>
      </c>
      <c r="L13" s="50">
        <v>45</v>
      </c>
      <c r="M13" s="50">
        <v>54</v>
      </c>
      <c r="N13" s="50">
        <v>63</v>
      </c>
      <c r="O13" s="50">
        <v>72</v>
      </c>
    </row>
    <row r="14" spans="1:23">
      <c r="A14" s="21" t="s">
        <v>182</v>
      </c>
      <c r="C14" s="21" t="s">
        <v>182</v>
      </c>
      <c r="H14" s="50">
        <v>10</v>
      </c>
      <c r="I14" s="50">
        <v>20</v>
      </c>
      <c r="J14" s="50">
        <v>30</v>
      </c>
      <c r="K14" s="50">
        <v>40</v>
      </c>
      <c r="L14" s="50">
        <v>50</v>
      </c>
      <c r="M14" s="50">
        <v>60</v>
      </c>
      <c r="N14" s="50">
        <v>70</v>
      </c>
      <c r="O14" s="50">
        <v>80</v>
      </c>
    </row>
    <row r="15" spans="1:23">
      <c r="A15" s="21" t="s">
        <v>183</v>
      </c>
      <c r="C15" s="21" t="s">
        <v>184</v>
      </c>
    </row>
    <row r="16" spans="1:23">
      <c r="A16" s="21" t="s">
        <v>185</v>
      </c>
      <c r="C16" s="21" t="s">
        <v>185</v>
      </c>
      <c r="I16">
        <v>1</v>
      </c>
    </row>
    <row r="17" spans="9:14">
      <c r="I17">
        <v>1</v>
      </c>
    </row>
    <row r="18" spans="9:14">
      <c r="I18" s="53">
        <f>I16*I17</f>
        <v>1</v>
      </c>
      <c r="J18" s="53">
        <v>28</v>
      </c>
      <c r="K18" s="53">
        <v>28</v>
      </c>
      <c r="L18" s="53">
        <v>29</v>
      </c>
      <c r="M18" s="53">
        <v>26</v>
      </c>
      <c r="N18" s="53">
        <v>30</v>
      </c>
    </row>
    <row r="19" spans="9:14">
      <c r="I19" s="54">
        <v>550</v>
      </c>
      <c r="J19" s="11">
        <v>15400</v>
      </c>
      <c r="K19" s="11">
        <v>15400</v>
      </c>
      <c r="L19" s="11">
        <v>15950</v>
      </c>
      <c r="M19" s="11">
        <v>14300</v>
      </c>
      <c r="N19" s="11">
        <v>16500</v>
      </c>
    </row>
    <row r="20" spans="9:14">
      <c r="I20" s="54">
        <v>1000</v>
      </c>
      <c r="J20" s="11">
        <v>28000</v>
      </c>
      <c r="K20" s="11">
        <v>28000</v>
      </c>
      <c r="L20" s="11">
        <v>29000</v>
      </c>
      <c r="M20" s="11">
        <v>26000</v>
      </c>
      <c r="N20" s="11">
        <v>30000</v>
      </c>
    </row>
    <row r="21" spans="9:14">
      <c r="I21" s="54">
        <v>1500</v>
      </c>
      <c r="J21" s="11">
        <v>42000</v>
      </c>
      <c r="K21" s="11">
        <v>42000</v>
      </c>
      <c r="L21" s="11">
        <v>43500</v>
      </c>
      <c r="M21" s="11">
        <v>39000</v>
      </c>
      <c r="N21" s="11">
        <v>45000</v>
      </c>
    </row>
    <row r="22" spans="9:14">
      <c r="I22" s="54">
        <v>400</v>
      </c>
      <c r="J22" s="11">
        <v>11200</v>
      </c>
      <c r="K22" s="11">
        <v>11200</v>
      </c>
      <c r="L22" s="11">
        <v>11600</v>
      </c>
      <c r="M22" s="11">
        <v>10400</v>
      </c>
      <c r="N22" s="11">
        <v>12000</v>
      </c>
    </row>
    <row r="23" spans="9:14">
      <c r="I23" s="54">
        <v>1200</v>
      </c>
      <c r="J23" s="11">
        <v>33600</v>
      </c>
      <c r="K23" s="11">
        <v>33600</v>
      </c>
      <c r="L23" s="11">
        <v>34800</v>
      </c>
      <c r="M23" s="11">
        <v>31200</v>
      </c>
      <c r="N23" s="11">
        <v>36000</v>
      </c>
    </row>
    <row r="24" spans="9:14">
      <c r="I24" s="54">
        <v>2000</v>
      </c>
      <c r="J24" s="11">
        <v>56000</v>
      </c>
      <c r="K24" s="11">
        <v>56000</v>
      </c>
      <c r="L24" s="11">
        <v>58000</v>
      </c>
      <c r="M24" s="11">
        <v>52000</v>
      </c>
      <c r="N24" s="11">
        <v>60000</v>
      </c>
    </row>
    <row r="25" spans="9:14">
      <c r="I25" s="54">
        <v>5000</v>
      </c>
      <c r="J25" s="11">
        <v>140000</v>
      </c>
      <c r="K25" s="11">
        <v>140000</v>
      </c>
      <c r="L25" s="11">
        <v>145000</v>
      </c>
      <c r="M25" s="11">
        <v>130000</v>
      </c>
      <c r="N25" s="11">
        <v>150000</v>
      </c>
    </row>
    <row r="26" spans="9:14">
      <c r="I26" s="54">
        <v>1900</v>
      </c>
      <c r="J26" s="11">
        <v>53200</v>
      </c>
      <c r="K26" s="11">
        <v>53200</v>
      </c>
      <c r="L26" s="11">
        <v>55100</v>
      </c>
      <c r="M26" s="11">
        <v>49400</v>
      </c>
      <c r="N26" s="11">
        <v>57000</v>
      </c>
    </row>
    <row r="27" spans="9:14">
      <c r="I27" s="54">
        <v>2200</v>
      </c>
      <c r="J27" s="11">
        <v>61600</v>
      </c>
      <c r="K27" s="11">
        <v>61600</v>
      </c>
      <c r="L27" s="11">
        <v>63800</v>
      </c>
      <c r="M27" s="11">
        <v>57200</v>
      </c>
      <c r="N27" s="11">
        <v>66000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D41F69A-40E8-420E-89EB-EF4E0A2D488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Sharing Workbooks</vt:lpstr>
      <vt:lpstr>Comments and Annotations</vt:lpstr>
      <vt:lpstr>Linking Data</vt:lpstr>
      <vt:lpstr>Financial Modeling</vt:lpstr>
      <vt:lpstr>What-If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amit.kamat005</dc:creator>
  <cp:lastModifiedBy>amit.kamat005</cp:lastModifiedBy>
  <dcterms:created xsi:type="dcterms:W3CDTF">2026-05-23T12:19:28Z</dcterms:created>
  <dcterms:modified xsi:type="dcterms:W3CDTF">2026-06-06T15:57:51Z</dcterms:modified>
</cp:coreProperties>
</file>
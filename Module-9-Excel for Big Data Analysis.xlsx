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pivotTables/pivotTable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CTE\10-Advanced Microsoft Excel-supply chain-Rishabh singh\"/>
    </mc:Choice>
  </mc:AlternateContent>
  <xr:revisionPtr revIDLastSave="0" documentId="13_ncr:1_{B2923DC2-9A49-4CBA-B4DA-7B84E219ABE8}" xr6:coauthVersionLast="47" xr6:coauthVersionMax="47" xr10:uidLastSave="{00000000-0000-0000-0000-000000000000}"/>
  <bookViews>
    <workbookView xWindow="-120" yWindow="-120" windowWidth="20730" windowHeight="11160" tabRatio="804" firstSheet="2" activeTab="8" xr2:uid="{64B6F09E-D6A1-4BCA-A8BA-0007A5B79359}"/>
  </bookViews>
  <sheets>
    <sheet name="Power Query for Big data" sheetId="1" r:id="rId1"/>
    <sheet name="Handling Large Datasets Efficie" sheetId="2" r:id="rId2"/>
    <sheet name="Data" sheetId="3" r:id="rId3"/>
    <sheet name="Sheet5" sheetId="6" r:id="rId4"/>
    <sheet name="Techniques for Big Data" sheetId="5" r:id="rId5"/>
    <sheet name="Data Visualization" sheetId="7" r:id="rId6"/>
    <sheet name="Sheet7" sheetId="8" r:id="rId7"/>
    <sheet name="Excel to External Data" sheetId="9" r:id="rId8"/>
    <sheet name="Case Studies" sheetId="10" r:id="rId9"/>
    <sheet name="Sheet11" sheetId="12" r:id="rId10"/>
  </sheets>
  <definedNames>
    <definedName name="Slicer_Months">#N/A</definedName>
    <definedName name="Slicer_Sales">#N/A</definedName>
  </definedNames>
  <calcPr calcId="191029"/>
  <pivotCaches>
    <pivotCache cacheId="13"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8" i="3" l="1"/>
  <c r="I9" i="3"/>
  <c r="I10" i="3"/>
  <c r="I7" i="3"/>
  <c r="C15" i="6"/>
  <c r="C16" i="6"/>
  <c r="C14" i="6"/>
  <c r="E14" i="6"/>
  <c r="E15" i="6"/>
  <c r="D14" i="6"/>
  <c r="D15" i="6"/>
  <c r="D16" i="6"/>
  <c r="E16" i="6"/>
</calcChain>
</file>

<file path=xl/sharedStrings.xml><?xml version="1.0" encoding="utf-8"?>
<sst xmlns="http://schemas.openxmlformats.org/spreadsheetml/2006/main" count="267" uniqueCount="227">
  <si>
    <t>Module 9: Excel for Big Data Analysis</t>
  </si>
  <si>
    <t>This module helps analysts work with millions of records without manually processing data.</t>
  </si>
  <si>
    <r>
      <t xml:space="preserve">Excel can handle large datasets efficiently when combined with tools like </t>
    </r>
    <r>
      <rPr>
        <b/>
        <sz val="14"/>
        <color rgb="FF000099"/>
        <rFont val="Aptos Narrow"/>
        <family val="2"/>
        <scheme val="minor"/>
      </rPr>
      <t>Power Query</t>
    </r>
    <r>
      <rPr>
        <sz val="14"/>
        <color rgb="FF000099"/>
        <rFont val="Aptos Narrow"/>
        <family val="2"/>
        <scheme val="minor"/>
      </rPr>
      <t xml:space="preserve">, </t>
    </r>
    <r>
      <rPr>
        <b/>
        <sz val="14"/>
        <color rgb="FF000099"/>
        <rFont val="Aptos Narrow"/>
        <family val="2"/>
        <scheme val="minor"/>
      </rPr>
      <t>Data Model</t>
    </r>
    <r>
      <rPr>
        <sz val="14"/>
        <color rgb="FF000099"/>
        <rFont val="Aptos Narrow"/>
        <family val="2"/>
        <scheme val="minor"/>
      </rPr>
      <t xml:space="preserve">, </t>
    </r>
    <r>
      <rPr>
        <b/>
        <sz val="14"/>
        <color rgb="FF000099"/>
        <rFont val="Aptos Narrow"/>
        <family val="2"/>
        <scheme val="minor"/>
      </rPr>
      <t>Pivot Tables</t>
    </r>
    <r>
      <rPr>
        <sz val="14"/>
        <color rgb="FF000099"/>
        <rFont val="Aptos Narrow"/>
        <family val="2"/>
        <scheme val="minor"/>
      </rPr>
      <t>, and connections to external databases.</t>
    </r>
  </si>
  <si>
    <t>https://chatgpt.com/c/6a4906f5-6e98-83ee-8abb-8faea7cfa4ea</t>
  </si>
  <si>
    <t>1. Power Query for Big Data</t>
  </si>
  <si>
    <t>Power Query is an ETL (Extract, Transform, Load) tool in Excel used to import, clean, and transform large datasets.</t>
  </si>
  <si>
    <t>What is Power Query?</t>
  </si>
  <si>
    <t>Power Query allows you to:</t>
  </si>
  <si>
    <t>Import data from multiple sources</t>
  </si>
  <si>
    <t>Clean and transform data</t>
  </si>
  <si>
    <t>Remove duplicates</t>
  </si>
  <si>
    <t>Merge tables</t>
  </si>
  <si>
    <t>Append datasets</t>
  </si>
  <si>
    <t>Automate repetitive tasks</t>
  </si>
  <si>
    <t>Steps to Use Power Query</t>
  </si>
  <si>
    <t>Step 1: Open Power Query</t>
  </si>
  <si>
    <t>1. Open Excel.</t>
  </si>
  <si>
    <t>4. Choose your data source.</t>
  </si>
  <si>
    <t>Step 2: Import Data</t>
  </si>
  <si>
    <t>Data → Get Data → From File → From Workbook/CSV</t>
  </si>
  <si>
    <t>Step 3: Transform Data</t>
  </si>
  <si>
    <t>You can:</t>
  </si>
  <si>
    <t>Remove blank rows</t>
  </si>
  <si>
    <t>Change data types</t>
  </si>
  <si>
    <t>Filter records</t>
  </si>
  <si>
    <t>Split columns</t>
  </si>
  <si>
    <t>Group data</t>
  </si>
  <si>
    <t>Step 4: Load Data</t>
  </si>
  <si>
    <t>Click:</t>
  </si>
  <si>
    <t>Home → Close &amp; Load</t>
  </si>
  <si>
    <t>The transformed data loads into Excel or the Data Model.</t>
  </si>
  <si>
    <r>
      <t xml:space="preserve">2. Click </t>
    </r>
    <r>
      <rPr>
        <b/>
        <sz val="11"/>
        <color rgb="FF000099"/>
        <rFont val="Aptos Narrow"/>
        <family val="2"/>
        <scheme val="minor"/>
      </rPr>
      <t>Data</t>
    </r>
    <r>
      <rPr>
        <sz val="11"/>
        <color rgb="FF000099"/>
        <rFont val="Aptos Narrow"/>
        <family val="2"/>
        <scheme val="minor"/>
      </rPr>
      <t xml:space="preserve"> tab.</t>
    </r>
  </si>
  <si>
    <r>
      <t xml:space="preserve">3. Select </t>
    </r>
    <r>
      <rPr>
        <b/>
        <sz val="11"/>
        <color rgb="FF000099"/>
        <rFont val="Aptos Narrow"/>
        <family val="2"/>
        <scheme val="minor"/>
      </rPr>
      <t>Get Data</t>
    </r>
    <r>
      <rPr>
        <sz val="11"/>
        <color rgb="FF000099"/>
        <rFont val="Aptos Narrow"/>
        <family val="2"/>
        <scheme val="minor"/>
      </rPr>
      <t>.</t>
    </r>
  </si>
  <si>
    <t>2. Handling Large Datasets Efficiently</t>
  </si>
  <si>
    <t>Excel's normal worksheet supports approximately 1 million rows. For larger datasets, use the Data Model and Power Pivot.</t>
  </si>
  <si>
    <t>Best Practices</t>
  </si>
  <si>
    <t>A. Convert Data into Tables</t>
  </si>
  <si>
    <t>Select data:</t>
  </si>
  <si>
    <t>Ctrl + T</t>
  </si>
  <si>
    <t>Benefits:</t>
  </si>
  <si>
    <t>Dynamic ranges</t>
  </si>
  <si>
    <t>Better performance</t>
  </si>
  <si>
    <t>Easy filtering</t>
  </si>
  <si>
    <t>B. Use Data Model</t>
  </si>
  <si>
    <t>Steps:</t>
  </si>
  <si>
    <t>Data → Manage Data Model</t>
  </si>
  <si>
    <t>Handles millions of records</t>
  </si>
  <si>
    <t>Creates relationships</t>
  </si>
  <si>
    <t>Enables advanced calculations</t>
  </si>
  <si>
    <t>C. Remove Unnecessary Columns</t>
  </si>
  <si>
    <t>Instead of importing everything:</t>
  </si>
  <si>
    <t>Keep only required fields</t>
  </si>
  <si>
    <t>Filter unnecessary records</t>
  </si>
  <si>
    <t>Reduce memory usage</t>
  </si>
  <si>
    <t>D. Disable Automatic Calculation</t>
  </si>
  <si>
    <t>Formula → Calculation Options → Manual</t>
  </si>
  <si>
    <t>This improves performance for large files.</t>
  </si>
  <si>
    <t>Sr. No.</t>
  </si>
  <si>
    <t>Name</t>
  </si>
  <si>
    <t>age</t>
  </si>
  <si>
    <t>Salary</t>
  </si>
  <si>
    <t>Amit</t>
  </si>
  <si>
    <t>Sumit</t>
  </si>
  <si>
    <t>Pooja</t>
  </si>
  <si>
    <t>Priya</t>
  </si>
  <si>
    <t>Order_ID</t>
  </si>
  <si>
    <t>Customer_Name</t>
  </si>
  <si>
    <t>Product</t>
  </si>
  <si>
    <t>Quantity</t>
  </si>
  <si>
    <t>Sales_Amount</t>
  </si>
  <si>
    <t>Amit Kumar</t>
  </si>
  <si>
    <t>Laptop</t>
  </si>
  <si>
    <t>Priya Singh</t>
  </si>
  <si>
    <t>Mobile Phone</t>
  </si>
  <si>
    <t>Rahul Sharma</t>
  </si>
  <si>
    <t>Tablet</t>
  </si>
  <si>
    <t>Neha Verma</t>
  </si>
  <si>
    <t>Headphones</t>
  </si>
  <si>
    <t>Suresh Patel</t>
  </si>
  <si>
    <t>Monitor</t>
  </si>
  <si>
    <t>Kavita Gupta</t>
  </si>
  <si>
    <t>Keyboard</t>
  </si>
  <si>
    <t>Rajesh Kumar</t>
  </si>
  <si>
    <t>Mouse</t>
  </si>
  <si>
    <t>Anjali Mishra</t>
  </si>
  <si>
    <t>Printer</t>
  </si>
  <si>
    <t>Vikram Singh</t>
  </si>
  <si>
    <t>Webcam</t>
  </si>
  <si>
    <t>Pooja Sharma</t>
  </si>
  <si>
    <t>Speaker</t>
  </si>
  <si>
    <t>Row Labels</t>
  </si>
  <si>
    <t>Grand Total</t>
  </si>
  <si>
    <t>3. Advanced Data Analysis Techniques for Big Data</t>
  </si>
  <si>
    <t>Excel offers advanced analytical capabilities using Pivot Tables, DAX, and forecasting.</t>
  </si>
  <si>
    <t>A. Pivot Tables</t>
  </si>
  <si>
    <t>1. Select dataset.</t>
  </si>
  <si>
    <t>2. Click:</t>
  </si>
  <si>
    <t>Insert → Pivot Table</t>
  </si>
  <si>
    <t>3. Drag fields into:</t>
  </si>
  <si>
    <t>Rows</t>
  </si>
  <si>
    <t>Columns</t>
  </si>
  <si>
    <t>Values</t>
  </si>
  <si>
    <t>Filters</t>
  </si>
  <si>
    <t>Example:</t>
  </si>
  <si>
    <t>Region</t>
  </si>
  <si>
    <t>Sales</t>
  </si>
  <si>
    <t>North</t>
  </si>
  <si>
    <t>South</t>
  </si>
  <si>
    <t>B. Power Pivot</t>
  </si>
  <si>
    <t>Power Pivot enables:</t>
  </si>
  <si>
    <t>Relationships</t>
  </si>
  <si>
    <t>KPIs</t>
  </si>
  <si>
    <t>Measures</t>
  </si>
  <si>
    <t>DAX formulas</t>
  </si>
  <si>
    <t>Example DAX:</t>
  </si>
  <si>
    <t>Total Sales = SUM(Sales[Amount])</t>
  </si>
  <si>
    <t>C. Forecasting</t>
  </si>
  <si>
    <t>Data → Forecast Sheet</t>
  </si>
  <si>
    <t>Excel automatically creates:</t>
  </si>
  <si>
    <t>Trend lines</t>
  </si>
  <si>
    <t>Forecast values</t>
  </si>
  <si>
    <t>Confidence intervals</t>
  </si>
  <si>
    <t>D. What-If Analysis</t>
  </si>
  <si>
    <t>Navigate:</t>
  </si>
  <si>
    <t>Data → What If Analysis</t>
  </si>
  <si>
    <t>Tools:</t>
  </si>
  <si>
    <t>Goal Seek</t>
  </si>
  <si>
    <t>Scenario Manager</t>
  </si>
  <si>
    <t>Data Tables</t>
  </si>
  <si>
    <t>Month</t>
  </si>
  <si>
    <t>Jan</t>
  </si>
  <si>
    <t>Feb</t>
  </si>
  <si>
    <t>Mar</t>
  </si>
  <si>
    <t>Apr</t>
  </si>
  <si>
    <t>May</t>
  </si>
  <si>
    <t>Jun</t>
  </si>
  <si>
    <t>Jul</t>
  </si>
  <si>
    <t>Aug</t>
  </si>
  <si>
    <t>Sep</t>
  </si>
  <si>
    <t>Forecast</t>
  </si>
  <si>
    <t>Forecast(Sales)</t>
  </si>
  <si>
    <t>Lower Confidence Bound(Sales)</t>
  </si>
  <si>
    <t>Upper Confidence Bound(Sales)</t>
  </si>
  <si>
    <t>4. Data Visualization with Big Data</t>
  </si>
  <si>
    <t>Visualizing large datasets helps identify trends and business insights.</t>
  </si>
  <si>
    <t>Popular Charts</t>
  </si>
  <si>
    <t>Column Chart</t>
  </si>
  <si>
    <t>Line Chart</t>
  </si>
  <si>
    <t>Pie Chart</t>
  </si>
  <si>
    <t>Scatter Plot</t>
  </si>
  <si>
    <t>Histogram</t>
  </si>
  <si>
    <t>Waterfall Chart</t>
  </si>
  <si>
    <t>Funnel Chart</t>
  </si>
  <si>
    <t>Example Monthly Sales Trend:</t>
  </si>
  <si>
    <t>Months</t>
  </si>
  <si>
    <t>Oct</t>
  </si>
  <si>
    <t>Nov</t>
  </si>
  <si>
    <t>Dec</t>
  </si>
  <si>
    <t>Creating Interactive Dashboard</t>
  </si>
  <si>
    <t>Step 1</t>
  </si>
  <si>
    <t>Insert Pivot Table.</t>
  </si>
  <si>
    <t>Step 2</t>
  </si>
  <si>
    <t>Insert Pivot Chart.</t>
  </si>
  <si>
    <t>Step 3</t>
  </si>
  <si>
    <t>Add:</t>
  </si>
  <si>
    <t>Insert → Slicer</t>
  </si>
  <si>
    <t>Step 4</t>
  </si>
  <si>
    <t>Insert → Timeline</t>
  </si>
  <si>
    <t>Users can now interactively filter data.</t>
  </si>
  <si>
    <t>Sum of Sales</t>
  </si>
  <si>
    <t>5. Connecting Excel to External Data Sources</t>
  </si>
  <si>
    <t>Excel can connect to multiple enterprise data sources.</t>
  </si>
  <si>
    <t>Supported Data Sources</t>
  </si>
  <si>
    <t>SQL Server</t>
  </si>
  <si>
    <t>MySQL</t>
  </si>
  <si>
    <t>Oracle</t>
  </si>
  <si>
    <t>Access</t>
  </si>
  <si>
    <t>CSV Files</t>
  </si>
  <si>
    <t>Text Files</t>
  </si>
  <si>
    <t>Web APIs</t>
  </si>
  <si>
    <t>SharePoint</t>
  </si>
  <si>
    <t>Azure</t>
  </si>
  <si>
    <t>Power BI</t>
  </si>
  <si>
    <t>Connect to SQL Server</t>
  </si>
  <si>
    <t>Data → Get Data</t>
  </si>
  <si>
    <t>From Database → From SQL Server Database</t>
  </si>
  <si>
    <t>Enter:</t>
  </si>
  <si>
    <t>Server Name</t>
  </si>
  <si>
    <t>Database Name</t>
  </si>
  <si>
    <t>Select tables and click:</t>
  </si>
  <si>
    <t>Load</t>
  </si>
  <si>
    <t>Connect to Web API</t>
  </si>
  <si>
    <t>Data → Get Data → From Web</t>
  </si>
  <si>
    <t>Enter API URL:</t>
  </si>
  <si>
    <t>https://api.example.com/data</t>
  </si>
  <si>
    <t>Excel imports JSON/XML data automatically.</t>
  </si>
  <si>
    <t>https://www.wikipedia.org/</t>
  </si>
  <si>
    <t>6. Case Studies and Practical Applications</t>
  </si>
  <si>
    <t>Case Study 1: Sales Analysis</t>
  </si>
  <si>
    <t>Problem</t>
  </si>
  <si>
    <t>Analyze 5 million sales records.</t>
  </si>
  <si>
    <t>Solution</t>
  </si>
  <si>
    <t>Import using Power Query</t>
  </si>
  <si>
    <t>Load into Data Model</t>
  </si>
  <si>
    <t>Create Pivot Tables</t>
  </si>
  <si>
    <t>Build dashboard</t>
  </si>
  <si>
    <t>Outcome</t>
  </si>
  <si>
    <t>Sales trends</t>
  </si>
  <si>
    <t>Region performance</t>
  </si>
  <si>
    <t>Product profitability</t>
  </si>
  <si>
    <t>Case Study 2: Customer Analysis</t>
  </si>
  <si>
    <t>Analyze customer purchasing behavior.</t>
  </si>
  <si>
    <t>Process</t>
  </si>
  <si>
    <t>Import customer transactions</t>
  </si>
  <si>
    <t>Clean data using Power Query</t>
  </si>
  <si>
    <t>Create customer segments</t>
  </si>
  <si>
    <t>Build visual dashboards</t>
  </si>
  <si>
    <t>Output</t>
  </si>
  <si>
    <t>Top customers</t>
  </si>
  <si>
    <t>Customer retention</t>
  </si>
  <si>
    <t>Revenue contribution</t>
  </si>
  <si>
    <t>Case Study 3: HR Analytics</t>
  </si>
  <si>
    <t>Analyze employee data.</t>
  </si>
  <si>
    <t>Attrition Rate</t>
  </si>
  <si>
    <t>Employee Count</t>
  </si>
  <si>
    <t>Department Performance</t>
  </si>
  <si>
    <t>Salary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</si>
</sst>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u val="double"/>
      <sz val="16"/>
      <color theme="1"/>
      <name val="Aptos Narrow"/>
      <family val="2"/>
      <scheme val="minor"/>
    </font>
    <font>
      <b/>
      <sz val="14"/>
      <color theme="1"/>
      <name val="Aptos Narrow"/>
      <family val="2"/>
      <scheme val="minor"/>
    </font>
    <font>
      <sz val="14"/>
      <color rgb="FF000099"/>
      <name val="Aptos Narrow"/>
      <family val="2"/>
      <scheme val="minor"/>
    </font>
    <font>
      <b/>
      <sz val="14"/>
      <color rgb="FF000099"/>
      <name val="Aptos Narrow"/>
      <family val="2"/>
      <scheme val="minor"/>
    </font>
    <font>
      <sz val="11"/>
      <color rgb="FF000099"/>
      <name val="Aptos Narrow"/>
      <family val="2"/>
      <scheme val="minor"/>
    </font>
    <font>
      <b/>
      <sz val="18"/>
      <color theme="1"/>
      <name val="Aptos Narrow"/>
      <family val="2"/>
      <scheme val="minor"/>
    </font>
    <font>
      <b/>
      <sz val="13.5"/>
      <color theme="1"/>
      <name val="Aptos Narrow"/>
      <family val="2"/>
      <scheme val="minor"/>
    </font>
    <font>
      <b/>
      <sz val="11"/>
      <color rgb="FF000099"/>
      <name val="Aptos Narrow"/>
      <family val="2"/>
      <scheme val="minor"/>
    </font>
    <font>
      <b/>
      <sz val="11"/>
      <color theme="1"/>
      <name val="Aptos Narrow"/>
      <family val="2"/>
      <scheme val="minor"/>
    </font>
    <font>
      <b/>
      <u val="double"/>
      <sz val="14"/>
      <color theme="1"/>
      <name val="Aptos Narrow"/>
      <family val="2"/>
      <scheme val="minor"/>
    </font>
    <font>
      <sz val="14"/>
      <name val="Aptos Narrow"/>
      <family val="2"/>
      <scheme val="minor"/>
    </font>
    <font>
      <sz val="14"/>
      <color rgb="FF000099"/>
      <name val="Arial Unicode MS"/>
    </font>
  </fonts>
  <fills count="9">
    <fill>
      <patternFill patternType="none"/>
    </fill>
    <fill>
      <patternFill patternType="gray125"/>
    </fill>
    <fill>
      <patternFill patternType="solid">
        <fgColor theme="8"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6" tint="0.39997558519241921"/>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xf numFmtId="0" fontId="3" fillId="0" borderId="0" xfId="0" applyFont="1"/>
    <xf numFmtId="0" fontId="2" fillId="0" borderId="0" xfId="0" applyFont="1"/>
    <xf numFmtId="0" fontId="0" fillId="2" borderId="0" xfId="0" applyFill="1"/>
    <xf numFmtId="0" fontId="0" fillId="0" borderId="0" xfId="0" applyAlignment="1">
      <alignment vertical="center"/>
    </xf>
    <xf numFmtId="0" fontId="6" fillId="0" borderId="0" xfId="0" applyFont="1" applyAlignment="1">
      <alignment vertical="center"/>
    </xf>
    <xf numFmtId="0" fontId="0" fillId="0" borderId="0" xfId="0" applyAlignment="1">
      <alignment horizontal="left" vertical="center" indent="1"/>
    </xf>
    <xf numFmtId="0" fontId="7" fillId="0" borderId="0" xfId="0" applyFont="1" applyAlignment="1">
      <alignment vertical="center"/>
    </xf>
    <xf numFmtId="0" fontId="0" fillId="3" borderId="0" xfId="0" applyFill="1"/>
    <xf numFmtId="0" fontId="0" fillId="4" borderId="0" xfId="0" applyFill="1"/>
    <xf numFmtId="0" fontId="9"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0" fillId="0" borderId="0" xfId="0" applyFont="1"/>
    <xf numFmtId="0" fontId="0" fillId="5" borderId="0" xfId="0" applyFill="1"/>
    <xf numFmtId="0" fontId="0" fillId="6" borderId="0" xfId="0" applyFill="1"/>
    <xf numFmtId="0" fontId="5" fillId="0" borderId="0" xfId="0" applyFont="1" applyAlignment="1">
      <alignment vertical="center" wrapText="1"/>
    </xf>
    <xf numFmtId="0" fontId="9" fillId="0" borderId="1" xfId="0" applyFont="1" applyBorder="1" applyAlignment="1">
      <alignment horizontal="center" vertical="center" wrapText="1"/>
    </xf>
    <xf numFmtId="0" fontId="0" fillId="0" borderId="1" xfId="0" applyBorder="1"/>
    <xf numFmtId="0" fontId="0" fillId="7" borderId="1" xfId="0" applyFill="1" applyBorder="1"/>
    <xf numFmtId="0" fontId="8" fillId="0" borderId="0" xfId="0" applyFont="1"/>
    <xf numFmtId="16" fontId="0" fillId="0" borderId="0" xfId="0" applyNumberFormat="1"/>
    <xf numFmtId="16" fontId="0" fillId="0" borderId="0" xfId="0" applyNumberFormat="1" applyAlignment="1">
      <alignment vertical="center" wrapText="1"/>
    </xf>
    <xf numFmtId="2" fontId="0" fillId="0" borderId="0" xfId="0" applyNumberFormat="1"/>
    <xf numFmtId="0" fontId="0" fillId="8" borderId="0" xfId="0" applyFill="1"/>
    <xf numFmtId="0" fontId="11" fillId="0" borderId="0" xfId="0" applyFont="1"/>
    <xf numFmtId="0" fontId="3" fillId="0" borderId="1" xfId="0" applyFont="1" applyBorder="1"/>
    <xf numFmtId="0" fontId="4" fillId="0" borderId="0" xfId="0" applyFont="1" applyAlignment="1">
      <alignment vertical="center"/>
    </xf>
    <xf numFmtId="0" fontId="12" fillId="0" borderId="0" xfId="0" applyFont="1" applyAlignment="1">
      <alignment vertical="center"/>
    </xf>
    <xf numFmtId="0" fontId="5" fillId="0" borderId="1" xfId="0" applyFont="1" applyBorder="1"/>
    <xf numFmtId="0" fontId="3" fillId="0" borderId="0" xfId="0" applyFont="1" applyAlignment="1">
      <alignment horizontal="left" vertical="center" indent="1"/>
    </xf>
    <xf numFmtId="0" fontId="3" fillId="0" borderId="0" xfId="0" applyFont="1" applyAlignment="1">
      <alignment vertical="center"/>
    </xf>
  </cellXfs>
  <cellStyles count="1">
    <cellStyle name="Normal" xfId="0" builtinId="0"/>
  </cellStyles>
  <dxfs count="3">
    <dxf>
      <numFmt numFmtId="2" formatCode="0.00"/>
    </dxf>
    <dxf>
      <numFmt numFmtId="2" formatCode="0.00"/>
    </dxf>
    <dxf>
      <numFmt numFmtId="21" formatCode="d\-mmm"/>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513734696206446E-2"/>
          <c:y val="2.5974025974025976E-2"/>
          <c:w val="0.89935997130793432"/>
          <c:h val="0.75327538603129152"/>
        </c:manualLayout>
      </c:layout>
      <c:lineChart>
        <c:grouping val="standard"/>
        <c:varyColors val="0"/>
        <c:ser>
          <c:idx val="0"/>
          <c:order val="0"/>
          <c:tx>
            <c:strRef>
              <c:f>Sheet5!$B$1</c:f>
              <c:strCache>
                <c:ptCount val="1"/>
                <c:pt idx="0">
                  <c:v>Sales</c:v>
                </c:pt>
              </c:strCache>
            </c:strRef>
          </c:tx>
          <c:spPr>
            <a:ln w="28575" cap="rnd">
              <a:solidFill>
                <a:schemeClr val="accent1"/>
              </a:solidFill>
              <a:round/>
            </a:ln>
            <a:effectLst/>
          </c:spPr>
          <c:marker>
            <c:symbol val="none"/>
          </c:marker>
          <c:val>
            <c:numRef>
              <c:f>Sheet5!$B$2:$B$16</c:f>
              <c:numCache>
                <c:formatCode>General</c:formatCode>
                <c:ptCount val="15"/>
                <c:pt idx="0">
                  <c:v>12000</c:v>
                </c:pt>
                <c:pt idx="1">
                  <c:v>13500</c:v>
                </c:pt>
                <c:pt idx="2">
                  <c:v>15000</c:v>
                </c:pt>
                <c:pt idx="3">
                  <c:v>14500</c:v>
                </c:pt>
                <c:pt idx="4">
                  <c:v>17000</c:v>
                </c:pt>
                <c:pt idx="5">
                  <c:v>18000</c:v>
                </c:pt>
                <c:pt idx="6">
                  <c:v>19500</c:v>
                </c:pt>
                <c:pt idx="7">
                  <c:v>21000</c:v>
                </c:pt>
                <c:pt idx="8">
                  <c:v>22000</c:v>
                </c:pt>
                <c:pt idx="9">
                  <c:v>24000</c:v>
                </c:pt>
                <c:pt idx="10">
                  <c:v>26000</c:v>
                </c:pt>
                <c:pt idx="11">
                  <c:v>28000</c:v>
                </c:pt>
              </c:numCache>
            </c:numRef>
          </c:val>
          <c:smooth val="0"/>
          <c:extLst>
            <c:ext xmlns:c16="http://schemas.microsoft.com/office/drawing/2014/chart" uri="{C3380CC4-5D6E-409C-BE32-E72D297353CC}">
              <c16:uniqueId val="{00000000-E517-454E-9F60-DAC6927F2FD9}"/>
            </c:ext>
          </c:extLst>
        </c:ser>
        <c:ser>
          <c:idx val="1"/>
          <c:order val="1"/>
          <c:tx>
            <c:strRef>
              <c:f>Sheet5!$C$1</c:f>
              <c:strCache>
                <c:ptCount val="1"/>
                <c:pt idx="0">
                  <c:v>Forecast(Sales)</c:v>
                </c:pt>
              </c:strCache>
            </c:strRef>
          </c:tx>
          <c:spPr>
            <a:ln w="25400" cap="rnd">
              <a:solidFill>
                <a:schemeClr val="accent2"/>
              </a:solidFill>
              <a:round/>
            </a:ln>
            <a:effectLst/>
          </c:spPr>
          <c:marker>
            <c:symbol val="none"/>
          </c:marker>
          <c:cat>
            <c:numRef>
              <c:f>Sheet5!$A$2:$A$16</c:f>
              <c:numCache>
                <c:formatCode>d\-mmm</c:formatCode>
                <c:ptCount val="15"/>
                <c:pt idx="0">
                  <c:v>46046</c:v>
                </c:pt>
                <c:pt idx="1">
                  <c:v>46077</c:v>
                </c:pt>
                <c:pt idx="2">
                  <c:v>46105</c:v>
                </c:pt>
                <c:pt idx="3">
                  <c:v>46136</c:v>
                </c:pt>
                <c:pt idx="4">
                  <c:v>46166</c:v>
                </c:pt>
                <c:pt idx="5">
                  <c:v>46197</c:v>
                </c:pt>
                <c:pt idx="6">
                  <c:v>46227</c:v>
                </c:pt>
                <c:pt idx="7">
                  <c:v>46258</c:v>
                </c:pt>
                <c:pt idx="8">
                  <c:v>46289</c:v>
                </c:pt>
                <c:pt idx="9">
                  <c:v>46319</c:v>
                </c:pt>
                <c:pt idx="10">
                  <c:v>46350</c:v>
                </c:pt>
                <c:pt idx="11">
                  <c:v>46380</c:v>
                </c:pt>
                <c:pt idx="12">
                  <c:v>46411</c:v>
                </c:pt>
                <c:pt idx="13">
                  <c:v>46442</c:v>
                </c:pt>
                <c:pt idx="14">
                  <c:v>46470</c:v>
                </c:pt>
              </c:numCache>
            </c:numRef>
          </c:cat>
          <c:val>
            <c:numRef>
              <c:f>Sheet5!$C$2:$C$16</c:f>
              <c:numCache>
                <c:formatCode>General</c:formatCode>
                <c:ptCount val="15"/>
                <c:pt idx="11">
                  <c:v>28000</c:v>
                </c:pt>
                <c:pt idx="12">
                  <c:v>28540.189732286963</c:v>
                </c:pt>
                <c:pt idx="13">
                  <c:v>29946.225899508056</c:v>
                </c:pt>
                <c:pt idx="14">
                  <c:v>31352.262066729145</c:v>
                </c:pt>
              </c:numCache>
            </c:numRef>
          </c:val>
          <c:smooth val="0"/>
          <c:extLst>
            <c:ext xmlns:c16="http://schemas.microsoft.com/office/drawing/2014/chart" uri="{C3380CC4-5D6E-409C-BE32-E72D297353CC}">
              <c16:uniqueId val="{00000001-E517-454E-9F60-DAC6927F2FD9}"/>
            </c:ext>
          </c:extLst>
        </c:ser>
        <c:ser>
          <c:idx val="2"/>
          <c:order val="2"/>
          <c:tx>
            <c:strRef>
              <c:f>Sheet5!$D$1</c:f>
              <c:strCache>
                <c:ptCount val="1"/>
                <c:pt idx="0">
                  <c:v>Lower Confidence Bound(Sales)</c:v>
                </c:pt>
              </c:strCache>
            </c:strRef>
          </c:tx>
          <c:spPr>
            <a:ln w="12700" cap="rnd">
              <a:solidFill>
                <a:srgbClr val="E97132"/>
              </a:solidFill>
              <a:prstDash val="solid"/>
              <a:round/>
            </a:ln>
            <a:effectLst/>
          </c:spPr>
          <c:marker>
            <c:symbol val="none"/>
          </c:marker>
          <c:cat>
            <c:numRef>
              <c:f>Sheet5!$A$2:$A$16</c:f>
              <c:numCache>
                <c:formatCode>d\-mmm</c:formatCode>
                <c:ptCount val="15"/>
                <c:pt idx="0">
                  <c:v>46046</c:v>
                </c:pt>
                <c:pt idx="1">
                  <c:v>46077</c:v>
                </c:pt>
                <c:pt idx="2">
                  <c:v>46105</c:v>
                </c:pt>
                <c:pt idx="3">
                  <c:v>46136</c:v>
                </c:pt>
                <c:pt idx="4">
                  <c:v>46166</c:v>
                </c:pt>
                <c:pt idx="5">
                  <c:v>46197</c:v>
                </c:pt>
                <c:pt idx="6">
                  <c:v>46227</c:v>
                </c:pt>
                <c:pt idx="7">
                  <c:v>46258</c:v>
                </c:pt>
                <c:pt idx="8">
                  <c:v>46289</c:v>
                </c:pt>
                <c:pt idx="9">
                  <c:v>46319</c:v>
                </c:pt>
                <c:pt idx="10">
                  <c:v>46350</c:v>
                </c:pt>
                <c:pt idx="11">
                  <c:v>46380</c:v>
                </c:pt>
                <c:pt idx="12">
                  <c:v>46411</c:v>
                </c:pt>
                <c:pt idx="13">
                  <c:v>46442</c:v>
                </c:pt>
                <c:pt idx="14">
                  <c:v>46470</c:v>
                </c:pt>
              </c:numCache>
            </c:numRef>
          </c:cat>
          <c:val>
            <c:numRef>
              <c:f>Sheet5!$D$2:$D$16</c:f>
              <c:numCache>
                <c:formatCode>General</c:formatCode>
                <c:ptCount val="15"/>
                <c:pt idx="11" formatCode="0.00">
                  <c:v>28000</c:v>
                </c:pt>
                <c:pt idx="12" formatCode="0.00">
                  <c:v>27155.63269653621</c:v>
                </c:pt>
                <c:pt idx="13" formatCode="0.00">
                  <c:v>28518.720737375301</c:v>
                </c:pt>
                <c:pt idx="14" formatCode="0.00">
                  <c:v>29882.73559855255</c:v>
                </c:pt>
              </c:numCache>
            </c:numRef>
          </c:val>
          <c:smooth val="0"/>
          <c:extLst>
            <c:ext xmlns:c16="http://schemas.microsoft.com/office/drawing/2014/chart" uri="{C3380CC4-5D6E-409C-BE32-E72D297353CC}">
              <c16:uniqueId val="{00000002-E517-454E-9F60-DAC6927F2FD9}"/>
            </c:ext>
          </c:extLst>
        </c:ser>
        <c:ser>
          <c:idx val="3"/>
          <c:order val="3"/>
          <c:tx>
            <c:strRef>
              <c:f>Sheet5!$E$1</c:f>
              <c:strCache>
                <c:ptCount val="1"/>
                <c:pt idx="0">
                  <c:v>Upper Confidence Bound(Sales)</c:v>
                </c:pt>
              </c:strCache>
            </c:strRef>
          </c:tx>
          <c:spPr>
            <a:ln w="12700" cap="rnd">
              <a:solidFill>
                <a:srgbClr val="E97132"/>
              </a:solidFill>
              <a:prstDash val="solid"/>
              <a:round/>
            </a:ln>
            <a:effectLst/>
          </c:spPr>
          <c:marker>
            <c:symbol val="none"/>
          </c:marker>
          <c:cat>
            <c:numRef>
              <c:f>Sheet5!$A$2:$A$16</c:f>
              <c:numCache>
                <c:formatCode>d\-mmm</c:formatCode>
                <c:ptCount val="15"/>
                <c:pt idx="0">
                  <c:v>46046</c:v>
                </c:pt>
                <c:pt idx="1">
                  <c:v>46077</c:v>
                </c:pt>
                <c:pt idx="2">
                  <c:v>46105</c:v>
                </c:pt>
                <c:pt idx="3">
                  <c:v>46136</c:v>
                </c:pt>
                <c:pt idx="4">
                  <c:v>46166</c:v>
                </c:pt>
                <c:pt idx="5">
                  <c:v>46197</c:v>
                </c:pt>
                <c:pt idx="6">
                  <c:v>46227</c:v>
                </c:pt>
                <c:pt idx="7">
                  <c:v>46258</c:v>
                </c:pt>
                <c:pt idx="8">
                  <c:v>46289</c:v>
                </c:pt>
                <c:pt idx="9">
                  <c:v>46319</c:v>
                </c:pt>
                <c:pt idx="10">
                  <c:v>46350</c:v>
                </c:pt>
                <c:pt idx="11">
                  <c:v>46380</c:v>
                </c:pt>
                <c:pt idx="12">
                  <c:v>46411</c:v>
                </c:pt>
                <c:pt idx="13">
                  <c:v>46442</c:v>
                </c:pt>
                <c:pt idx="14">
                  <c:v>46470</c:v>
                </c:pt>
              </c:numCache>
            </c:numRef>
          </c:cat>
          <c:val>
            <c:numRef>
              <c:f>Sheet5!$E$2:$E$16</c:f>
              <c:numCache>
                <c:formatCode>General</c:formatCode>
                <c:ptCount val="15"/>
                <c:pt idx="11" formatCode="0.00">
                  <c:v>28000</c:v>
                </c:pt>
                <c:pt idx="12" formatCode="0.00">
                  <c:v>29924.746768037716</c:v>
                </c:pt>
                <c:pt idx="13" formatCode="0.00">
                  <c:v>31373.73106164081</c:v>
                </c:pt>
                <c:pt idx="14" formatCode="0.00">
                  <c:v>32821.78853490574</c:v>
                </c:pt>
              </c:numCache>
            </c:numRef>
          </c:val>
          <c:smooth val="0"/>
          <c:extLst>
            <c:ext xmlns:c16="http://schemas.microsoft.com/office/drawing/2014/chart" uri="{C3380CC4-5D6E-409C-BE32-E72D297353CC}">
              <c16:uniqueId val="{00000003-E517-454E-9F60-DAC6927F2FD9}"/>
            </c:ext>
          </c:extLst>
        </c:ser>
        <c:dLbls>
          <c:showLegendKey val="0"/>
          <c:showVal val="0"/>
          <c:showCatName val="0"/>
          <c:showSerName val="0"/>
          <c:showPercent val="0"/>
          <c:showBubbleSize val="0"/>
        </c:dLbls>
        <c:smooth val="0"/>
        <c:axId val="2023239072"/>
        <c:axId val="1271742656"/>
      </c:lineChart>
      <c:catAx>
        <c:axId val="2023239072"/>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42656"/>
        <c:crosses val="autoZero"/>
        <c:auto val="1"/>
        <c:lblAlgn val="ctr"/>
        <c:lblOffset val="100"/>
        <c:noMultiLvlLbl val="0"/>
      </c:catAx>
      <c:valAx>
        <c:axId val="127174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39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[Module-9-Excel for Big Data Analysis.xlsx]Sheet7!PivotTable2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Sheet7!$B$4:$B$16</c:f>
              <c:numCache>
                <c:formatCode>General</c:formatCode>
                <c:ptCount val="12"/>
                <c:pt idx="0">
                  <c:v>100000</c:v>
                </c:pt>
                <c:pt idx="1">
                  <c:v>125000</c:v>
                </c:pt>
                <c:pt idx="2">
                  <c:v>150000</c:v>
                </c:pt>
                <c:pt idx="3">
                  <c:v>200000</c:v>
                </c:pt>
                <c:pt idx="4">
                  <c:v>225000</c:v>
                </c:pt>
                <c:pt idx="5">
                  <c:v>257500</c:v>
                </c:pt>
                <c:pt idx="6">
                  <c:v>290000</c:v>
                </c:pt>
                <c:pt idx="7">
                  <c:v>322500</c:v>
                </c:pt>
                <c:pt idx="8">
                  <c:v>355000</c:v>
                </c:pt>
                <c:pt idx="9">
                  <c:v>387500</c:v>
                </c:pt>
                <c:pt idx="10">
                  <c:v>420000</c:v>
                </c:pt>
                <c:pt idx="11">
                  <c:v>452500</c:v>
                </c:pt>
              </c:numCache>
            </c:numRef>
          </c:val>
          <c:smooth val="0"/>
          <c:extLst>
            <c:ext xmlns:c16="http://schemas.microsoft.com/office/drawing/2014/chart" uri="{C3380CC4-5D6E-409C-BE32-E72D297353CC}">
              <c16:uniqueId val="{00000000-DA1B-47C1-87B2-87E1F526F52A}"/>
            </c:ext>
          </c:extLst>
        </c:ser>
        <c:dLbls>
          <c:showLegendKey val="0"/>
          <c:showVal val="0"/>
          <c:showCatName val="0"/>
          <c:showSerName val="0"/>
          <c:showPercent val="0"/>
          <c:showBubbleSize val="0"/>
        </c:dLbls>
        <c:smooth val="0"/>
        <c:axId val="1950331968"/>
        <c:axId val="1271771936"/>
      </c:lineChart>
      <c:catAx>
        <c:axId val="195033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771936"/>
        <c:crosses val="autoZero"/>
        <c:auto val="1"/>
        <c:lblAlgn val="ctr"/>
        <c:lblOffset val="100"/>
        <c:noMultiLvlLbl val="0"/>
      </c:catAx>
      <c:valAx>
        <c:axId val="127177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33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285750</xdr:colOff>
      <xdr:row>8</xdr:row>
      <xdr:rowOff>0</xdr:rowOff>
    </xdr:from>
    <xdr:to>
      <xdr:col>10</xdr:col>
      <xdr:colOff>133350</xdr:colOff>
      <xdr:row>23</xdr:row>
      <xdr:rowOff>79375</xdr:rowOff>
    </xdr:to>
    <xdr:pic>
      <xdr:nvPicPr>
        <xdr:cNvPr id="2" name="Picture 1">
          <a:extLst>
            <a:ext uri="{FF2B5EF4-FFF2-40B4-BE49-F238E27FC236}">
              <a16:creationId xmlns:a16="http://schemas.microsoft.com/office/drawing/2014/main" id="{EFAD21F5-18DB-459A-D459-25228A3C7C1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1790700"/>
          <a:ext cx="5943600" cy="29368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152400</xdr:colOff>
      <xdr:row>4</xdr:row>
      <xdr:rowOff>0</xdr:rowOff>
    </xdr:from>
    <xdr:to>
      <xdr:col>9</xdr:col>
      <xdr:colOff>381000</xdr:colOff>
      <xdr:row>20</xdr:row>
      <xdr:rowOff>66675</xdr:rowOff>
    </xdr:to>
    <xdr:pic>
      <xdr:nvPicPr>
        <xdr:cNvPr id="2" name="Picture 1">
          <a:extLst>
            <a:ext uri="{FF2B5EF4-FFF2-40B4-BE49-F238E27FC236}">
              <a16:creationId xmlns:a16="http://schemas.microsoft.com/office/drawing/2014/main" id="{00009FA5-27CA-608C-C9C8-344C575C3B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857250"/>
          <a:ext cx="5715000" cy="3114675"/>
        </a:xfrm>
        <a:prstGeom prst="rect">
          <a:avLst/>
        </a:prstGeom>
        <a:noFill/>
        <a:ln>
          <a:noFill/>
        </a:ln>
      </xdr:spPr>
    </xdr:pic>
    <xdr:clientData/>
  </xdr:twoCellAnchor>
  <xdr:twoCellAnchor editAs="oneCell">
    <xdr:from>
      <xdr:col>10</xdr:col>
      <xdr:colOff>285750</xdr:colOff>
      <xdr:row>4</xdr:row>
      <xdr:rowOff>0</xdr:rowOff>
    </xdr:from>
    <xdr:to>
      <xdr:col>20</xdr:col>
      <xdr:colOff>133350</xdr:colOff>
      <xdr:row>20</xdr:row>
      <xdr:rowOff>104775</xdr:rowOff>
    </xdr:to>
    <xdr:pic>
      <xdr:nvPicPr>
        <xdr:cNvPr id="3" name="Picture 2">
          <a:extLst>
            <a:ext uri="{FF2B5EF4-FFF2-40B4-BE49-F238E27FC236}">
              <a16:creationId xmlns:a16="http://schemas.microsoft.com/office/drawing/2014/main" id="{56B3D2F7-ACFB-B7D8-D17B-8F9A5AFE99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381750" y="857250"/>
          <a:ext cx="5943600" cy="31527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238125</xdr:colOff>
      <xdr:row>0</xdr:row>
      <xdr:rowOff>90487</xdr:rowOff>
    </xdr:from>
    <xdr:to>
      <xdr:col>15</xdr:col>
      <xdr:colOff>276225</xdr:colOff>
      <xdr:row>15</xdr:row>
      <xdr:rowOff>166687</xdr:rowOff>
    </xdr:to>
    <xdr:graphicFrame macro="">
      <xdr:nvGraphicFramePr>
        <xdr:cNvPr id="2" name="Chart 1">
          <a:extLst>
            <a:ext uri="{FF2B5EF4-FFF2-40B4-BE49-F238E27FC236}">
              <a16:creationId xmlns:a16="http://schemas.microsoft.com/office/drawing/2014/main" id="{B66B6FC9-1764-8CEC-9C53-2984209A3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161925</xdr:colOff>
      <xdr:row>4</xdr:row>
      <xdr:rowOff>77245</xdr:rowOff>
    </xdr:from>
    <xdr:to>
      <xdr:col>9</xdr:col>
      <xdr:colOff>495300</xdr:colOff>
      <xdr:row>23</xdr:row>
      <xdr:rowOff>88265</xdr:rowOff>
    </xdr:to>
    <xdr:pic>
      <xdr:nvPicPr>
        <xdr:cNvPr id="2" name="Picture 1">
          <a:extLst>
            <a:ext uri="{FF2B5EF4-FFF2-40B4-BE49-F238E27FC236}">
              <a16:creationId xmlns:a16="http://schemas.microsoft.com/office/drawing/2014/main" id="{1470E8DE-78DD-CBB6-22F5-9BFBDE65AD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934495"/>
          <a:ext cx="5819775" cy="3630520"/>
        </a:xfrm>
        <a:prstGeom prst="rect">
          <a:avLst/>
        </a:prstGeom>
        <a:noFill/>
        <a:ln>
          <a:noFill/>
        </a:ln>
      </xdr:spPr>
    </xdr:pic>
    <xdr:clientData/>
  </xdr:twoCellAnchor>
  <xdr:twoCellAnchor editAs="oneCell">
    <xdr:from>
      <xdr:col>11</xdr:col>
      <xdr:colOff>66674</xdr:colOff>
      <xdr:row>4</xdr:row>
      <xdr:rowOff>37505</xdr:rowOff>
    </xdr:from>
    <xdr:to>
      <xdr:col>20</xdr:col>
      <xdr:colOff>457199</xdr:colOff>
      <xdr:row>21</xdr:row>
      <xdr:rowOff>104775</xdr:rowOff>
    </xdr:to>
    <xdr:pic>
      <xdr:nvPicPr>
        <xdr:cNvPr id="3" name="Picture 2">
          <a:extLst>
            <a:ext uri="{FF2B5EF4-FFF2-40B4-BE49-F238E27FC236}">
              <a16:creationId xmlns:a16="http://schemas.microsoft.com/office/drawing/2014/main" id="{348283DA-F641-B315-5C40-6CF8A6179D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4" y="894755"/>
          <a:ext cx="5876925" cy="330577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180975</xdr:colOff>
      <xdr:row>4</xdr:row>
      <xdr:rowOff>69850</xdr:rowOff>
    </xdr:from>
    <xdr:to>
      <xdr:col>9</xdr:col>
      <xdr:colOff>533400</xdr:colOff>
      <xdr:row>23</xdr:row>
      <xdr:rowOff>114300</xdr:rowOff>
    </xdr:to>
    <xdr:pic>
      <xdr:nvPicPr>
        <xdr:cNvPr id="2" name="Picture 1">
          <a:extLst>
            <a:ext uri="{FF2B5EF4-FFF2-40B4-BE49-F238E27FC236}">
              <a16:creationId xmlns:a16="http://schemas.microsoft.com/office/drawing/2014/main" id="{0A22679A-CB11-464B-3169-56AF5FF18F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927100"/>
          <a:ext cx="5838825" cy="3663950"/>
        </a:xfrm>
        <a:prstGeom prst="rect">
          <a:avLst/>
        </a:prstGeom>
        <a:noFill/>
        <a:ln>
          <a:noFill/>
        </a:ln>
      </xdr:spPr>
    </xdr:pic>
    <xdr:clientData/>
  </xdr:twoCellAnchor>
  <xdr:twoCellAnchor editAs="oneCell">
    <xdr:from>
      <xdr:col>11</xdr:col>
      <xdr:colOff>114300</xdr:colOff>
      <xdr:row>6</xdr:row>
      <xdr:rowOff>19050</xdr:rowOff>
    </xdr:from>
    <xdr:to>
      <xdr:col>20</xdr:col>
      <xdr:colOff>457200</xdr:colOff>
      <xdr:row>20</xdr:row>
      <xdr:rowOff>64135</xdr:rowOff>
    </xdr:to>
    <xdr:pic>
      <xdr:nvPicPr>
        <xdr:cNvPr id="3" name="Picture 2">
          <a:extLst>
            <a:ext uri="{FF2B5EF4-FFF2-40B4-BE49-F238E27FC236}">
              <a16:creationId xmlns:a16="http://schemas.microsoft.com/office/drawing/2014/main" id="{4F61612A-3552-89B7-0B79-58FCD59927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1257300"/>
          <a:ext cx="5829300" cy="271208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219075</xdr:colOff>
      <xdr:row>1</xdr:row>
      <xdr:rowOff>52387</xdr:rowOff>
    </xdr:from>
    <xdr:to>
      <xdr:col>9</xdr:col>
      <xdr:colOff>523875</xdr:colOff>
      <xdr:row>15</xdr:row>
      <xdr:rowOff>128587</xdr:rowOff>
    </xdr:to>
    <xdr:graphicFrame macro="">
      <xdr:nvGraphicFramePr>
        <xdr:cNvPr id="2" name="Chart 1">
          <a:extLst>
            <a:ext uri="{FF2B5EF4-FFF2-40B4-BE49-F238E27FC236}">
              <a16:creationId xmlns:a16="http://schemas.microsoft.com/office/drawing/2014/main" id="{BDBF3FDD-20DA-2E01-500E-ABFABFF5F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323850</xdr:colOff>
      <xdr:row>1</xdr:row>
      <xdr:rowOff>123825</xdr:rowOff>
    </xdr:from>
    <xdr:to>
      <xdr:col>13</xdr:col>
      <xdr:colOff>323850</xdr:colOff>
      <xdr:row>15</xdr:row>
      <xdr:rowOff>123825</xdr:rowOff>
    </xdr:to>
    <mc:AlternateContent xmlns:mc="http://schemas.openxmlformats.org/markup-compatibility/2006">
      <mc:Choice xmlns:a14="http://schemas.microsoft.com/office/drawing/2010/main" Requires="a14">
        <xdr:graphicFrame macro="">
          <xdr:nvGraphicFramePr>
            <xdr:cNvPr id="3" name="Months">
              <a:extLst>
                <a:ext uri="{FF2B5EF4-FFF2-40B4-BE49-F238E27FC236}">
                  <a16:creationId xmlns:a16="http://schemas.microsoft.com/office/drawing/2014/main" id="{5C554E8D-3F6C-D877-A85F-87E4CBEE3C85}"/>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6934200" y="314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514350</xdr:colOff>
      <xdr:row>1</xdr:row>
      <xdr:rowOff>114300</xdr:rowOff>
    </xdr:from>
    <xdr:to>
      <xdr:col>16</xdr:col>
      <xdr:colOff>514350</xdr:colOff>
      <xdr:row>15</xdr:row>
      <xdr:rowOff>114300</xdr:rowOff>
    </xdr:to>
    <mc:AlternateContent xmlns:mc="http://schemas.openxmlformats.org/markup-compatibility/2006">
      <mc:Choice xmlns:a14="http://schemas.microsoft.com/office/drawing/2010/main" Requires="a14">
        <xdr:graphicFrame macro="">
          <xdr:nvGraphicFramePr>
            <xdr:cNvPr id="4" name="Sales">
              <a:extLst>
                <a:ext uri="{FF2B5EF4-FFF2-40B4-BE49-F238E27FC236}">
                  <a16:creationId xmlns:a16="http://schemas.microsoft.com/office/drawing/2014/main" id="{2B15B8E4-38BE-A61D-C456-AC5C13DCB591}"/>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8953500" y="304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Kamat" refreshedDate="46208.446339236114" createdVersion="8" refreshedVersion="8" minRefreshableVersion="3" recordCount="12" xr:uid="{96E92D39-0848-4E0F-92AD-B64538B590C2}">
  <cacheSource type="worksheet">
    <worksheetSource ref="A37:B49" sheet="Data Visualization"/>
  </cacheSource>
  <cacheFields count="2">
    <cacheField name="Months" numFmtId="0">
      <sharedItems count="12">
        <s v="Jan"/>
        <s v="Feb"/>
        <s v="Mar"/>
        <s v="Apr"/>
        <s v="May"/>
        <s v="Jun"/>
        <s v="Jul"/>
        <s v="Aug"/>
        <s v="Sep"/>
        <s v="Oct"/>
        <s v="Nov"/>
        <s v="Dec"/>
      </sharedItems>
    </cacheField>
    <cacheField name="Sales" numFmtId="0">
      <sharedItems containsSemiMixedTypes="0" containsString="0" containsNumber="1" containsInteger="1" minValue="100000" maxValue="452500" count="12">
        <n v="100000"/>
        <n v="125000"/>
        <n v="150000"/>
        <n v="200000"/>
        <n v="225000"/>
        <n v="257500"/>
        <n v="290000"/>
        <n v="322500"/>
        <n v="355000"/>
        <n v="387500"/>
        <n v="420000"/>
        <n v="452500"/>
      </sharedItems>
    </cacheField>
  </cacheFields>
  <extLst>
    <ext xmlns:x14="http://schemas.microsoft.com/office/spreadsheetml/2009/9/main" uri="{725AE2AE-9491-48be-B2B4-4EB974FC3084}">
      <x14:pivotCacheDefinition pivotCacheId="16222294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r>
  <r>
    <x v="1"/>
    <x v="1"/>
  </r>
  <r>
    <x v="2"/>
    <x v="2"/>
  </r>
  <r>
    <x v="3"/>
    <x v="3"/>
  </r>
  <r>
    <x v="4"/>
    <x v="4"/>
  </r>
  <r>
    <x v="5"/>
    <x v="5"/>
  </r>
  <r>
    <x v="6"/>
    <x v="6"/>
  </r>
  <r>
    <x v="7"/>
    <x v="7"/>
  </r>
  <r>
    <x v="8"/>
    <x v="8"/>
  </r>
  <r>
    <x v="9"/>
    <x v="9"/>
  </r>
  <r>
    <x v="10"/>
    <x v="10"/>
  </r>
  <r>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8EF808-A9A8-4F8D-A5F6-FAAEFC629238}"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2">
    <pivotField axis="axisRow" showAll="0">
      <items count="13">
        <item x="0"/>
        <item x="1"/>
        <item x="2"/>
        <item x="3"/>
        <item x="4"/>
        <item x="5"/>
        <item x="6"/>
        <item x="7"/>
        <item x="8"/>
        <item x="9"/>
        <item x="10"/>
        <item x="11"/>
        <item t="default"/>
      </items>
    </pivotField>
    <pivotField dataField="1" showAll="0">
      <items count="13">
        <item x="0"/>
        <item x="1"/>
        <item x="2"/>
        <item x="3"/>
        <item x="4"/>
        <item x="5"/>
        <item x="6"/>
        <item x="7"/>
        <item x="8"/>
        <item x="9"/>
        <item x="10"/>
        <item x="11"/>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C2B4ED2E-DB6D-4E9D-A643-76613321CF57}" sourceName="Months">
  <pivotTables>
    <pivotTable tabId="8" name="PivotTable2"/>
  </pivotTables>
  <data>
    <tabular pivotCacheId="1622229495">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4129E7BD-36AB-4FF8-A8AB-6BED8EE5450E}" sourceName="Sales">
  <pivotTables>
    <pivotTable tabId="8" name="PivotTable2"/>
  </pivotTables>
  <data>
    <tabular pivotCacheId="162222949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191EB45E-9070-4FFC-B6C4-EB14466F9CFB}" cache="Slicer_Months" caption="Months" rowHeight="257175"/>
  <slicer name="Sales" xr10:uid="{2DBB95CB-1899-4AA7-9520-6737E2C5E5BA}" cache="Slicer_Sales" caption="Sale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A079DA-E1CB-421D-B9C4-884AD76B81E0}" name="Table3" displayName="Table3" ref="A1:E16" totalsRowShown="0">
  <autoFilter ref="A1:E16" xr:uid="{28A079DA-E1CB-421D-B9C4-884AD76B81E0}"/>
  <tableColumns count="5">
    <tableColumn id="1" xr3:uid="{5ED63688-BFAD-419C-8482-179E114A8F3C}" name="Month" dataDxfId="2"/>
    <tableColumn id="2" xr3:uid="{866E5C33-A031-4E80-BD8F-79204298DCB8}" name="Sales"/>
    <tableColumn id="3" xr3:uid="{BB8BFA93-5624-4DD2-A5BE-2ECC62544443}" name="Forecast(Sales)"/>
    <tableColumn id="4" xr3:uid="{F11E3F4B-F3A1-4BBA-97E7-B0D469E7B3B4}" name="Lower Confidence Bound(Sales)" dataDxfId="1"/>
    <tableColumn id="5" xr3:uid="{278BD95D-A5CB-4F7A-A4B1-B885022DEE13}" name="Upper Confidence Bound(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68635-7A76-49B4-A926-39A76B90FED5}">
  <sheetPr>
    <tabColor rgb="FFFFFF00"/>
  </sheetPr>
  <dimension ref="A1:K63"/>
  <sheetViews>
    <sheetView workbookViewId="0">
      <selection activeCell="P11" sqref="P11"/>
    </sheetView>
  </sheetViews>
  <sheetFormatPr defaultRowHeight="15"/>
  <sheetData>
    <row r="1" spans="1:11" ht="21">
      <c r="A1" s="1" t="s">
        <v>0</v>
      </c>
      <c r="G1" t="s">
        <v>3</v>
      </c>
    </row>
    <row r="3" spans="1:11" ht="18.75">
      <c r="A3" s="2" t="s">
        <v>2</v>
      </c>
    </row>
    <row r="4" spans="1:11" ht="18.75">
      <c r="A4" s="2" t="s">
        <v>1</v>
      </c>
    </row>
    <row r="6" spans="1:11" ht="18.75">
      <c r="A6" s="3" t="s">
        <v>4</v>
      </c>
    </row>
    <row r="7" spans="1:11" ht="18.75">
      <c r="A7" s="2" t="s">
        <v>5</v>
      </c>
    </row>
    <row r="8" spans="1:11">
      <c r="A8" s="4"/>
      <c r="B8" s="4"/>
      <c r="C8" s="4"/>
      <c r="D8" s="4"/>
      <c r="E8" s="4"/>
      <c r="F8" s="4"/>
      <c r="G8" s="4"/>
      <c r="H8" s="4"/>
      <c r="I8" s="4"/>
      <c r="J8" s="4"/>
      <c r="K8" s="4"/>
    </row>
    <row r="9" spans="1:11">
      <c r="A9" s="4"/>
      <c r="B9" s="4"/>
      <c r="C9" s="4"/>
      <c r="D9" s="4"/>
      <c r="E9" s="4"/>
      <c r="F9" s="4"/>
      <c r="G9" s="4"/>
      <c r="H9" s="4"/>
      <c r="I9" s="4"/>
      <c r="J9" s="4"/>
      <c r="K9" s="4"/>
    </row>
    <row r="10" spans="1:11">
      <c r="A10" s="4"/>
      <c r="B10" s="4"/>
      <c r="C10" s="4"/>
      <c r="D10" s="4"/>
      <c r="E10" s="4"/>
      <c r="F10" s="4"/>
      <c r="G10" s="4"/>
      <c r="H10" s="4"/>
      <c r="I10" s="4"/>
      <c r="J10" s="4"/>
      <c r="K10" s="4"/>
    </row>
    <row r="11" spans="1:11">
      <c r="A11" s="4"/>
      <c r="B11" s="4"/>
      <c r="C11" s="4"/>
      <c r="D11" s="4"/>
      <c r="E11" s="4"/>
      <c r="F11" s="4"/>
      <c r="G11" s="4"/>
      <c r="H11" s="4"/>
      <c r="I11" s="4"/>
      <c r="J11" s="4"/>
      <c r="K11" s="4"/>
    </row>
    <row r="12" spans="1:11">
      <c r="A12" s="4"/>
      <c r="B12" s="4"/>
      <c r="C12" s="4"/>
      <c r="D12" s="4"/>
      <c r="E12" s="4"/>
      <c r="F12" s="4"/>
      <c r="G12" s="4"/>
      <c r="H12" s="4"/>
      <c r="I12" s="4"/>
      <c r="J12" s="4"/>
      <c r="K12" s="4"/>
    </row>
    <row r="13" spans="1:11">
      <c r="A13" s="4"/>
      <c r="B13" s="4"/>
      <c r="C13" s="4"/>
      <c r="D13" s="4"/>
      <c r="E13" s="4"/>
      <c r="F13" s="4"/>
      <c r="G13" s="4"/>
      <c r="H13" s="4"/>
      <c r="I13" s="4"/>
      <c r="J13" s="4"/>
      <c r="K13" s="4"/>
    </row>
    <row r="14" spans="1:11">
      <c r="A14" s="4"/>
      <c r="B14" s="4"/>
      <c r="C14" s="4"/>
      <c r="D14" s="4"/>
      <c r="E14" s="4"/>
      <c r="F14" s="4"/>
      <c r="G14" s="4"/>
      <c r="H14" s="4"/>
      <c r="I14" s="4"/>
      <c r="J14" s="4"/>
      <c r="K14" s="4"/>
    </row>
    <row r="15" spans="1:11">
      <c r="A15" s="4"/>
      <c r="B15" s="4"/>
      <c r="C15" s="4"/>
      <c r="D15" s="4"/>
      <c r="E15" s="4"/>
      <c r="F15" s="4"/>
      <c r="G15" s="4"/>
      <c r="H15" s="4"/>
      <c r="I15" s="4"/>
      <c r="J15" s="4"/>
      <c r="K15" s="4"/>
    </row>
    <row r="16" spans="1:11">
      <c r="A16" s="4"/>
      <c r="B16" s="4"/>
      <c r="C16" s="4"/>
      <c r="D16" s="4"/>
      <c r="E16" s="4"/>
      <c r="F16" s="4"/>
      <c r="G16" s="4"/>
      <c r="H16" s="4"/>
      <c r="I16" s="4"/>
      <c r="J16" s="4"/>
      <c r="K16" s="4"/>
    </row>
    <row r="17" spans="1:11">
      <c r="A17" s="4"/>
      <c r="B17" s="4"/>
      <c r="C17" s="4"/>
      <c r="D17" s="4"/>
      <c r="E17" s="4"/>
      <c r="F17" s="4"/>
      <c r="G17" s="4"/>
      <c r="H17" s="4"/>
      <c r="I17" s="4"/>
      <c r="J17" s="4"/>
      <c r="K17" s="4"/>
    </row>
    <row r="18" spans="1:11">
      <c r="A18" s="4"/>
      <c r="B18" s="4"/>
      <c r="C18" s="4"/>
      <c r="D18" s="4"/>
      <c r="E18" s="4"/>
      <c r="F18" s="4"/>
      <c r="G18" s="4"/>
      <c r="H18" s="4"/>
      <c r="I18" s="4"/>
      <c r="J18" s="4"/>
      <c r="K18" s="4"/>
    </row>
    <row r="19" spans="1:11">
      <c r="A19" s="4"/>
      <c r="B19" s="4"/>
      <c r="C19" s="4"/>
      <c r="D19" s="4"/>
      <c r="E19" s="4"/>
      <c r="F19" s="4"/>
      <c r="G19" s="4"/>
      <c r="H19" s="4"/>
      <c r="I19" s="4"/>
      <c r="J19" s="4"/>
      <c r="K19" s="4"/>
    </row>
    <row r="20" spans="1:11">
      <c r="A20" s="4"/>
      <c r="B20" s="4"/>
      <c r="C20" s="4"/>
      <c r="D20" s="4"/>
      <c r="E20" s="4"/>
      <c r="F20" s="4"/>
      <c r="G20" s="4"/>
      <c r="H20" s="4"/>
      <c r="I20" s="4"/>
      <c r="J20" s="4"/>
      <c r="K20" s="4"/>
    </row>
    <row r="21" spans="1:11">
      <c r="A21" s="4"/>
      <c r="B21" s="4"/>
      <c r="C21" s="4"/>
      <c r="D21" s="4"/>
      <c r="E21" s="4"/>
      <c r="F21" s="4"/>
      <c r="G21" s="4"/>
      <c r="H21" s="4"/>
      <c r="I21" s="4"/>
      <c r="J21" s="4"/>
      <c r="K21" s="4"/>
    </row>
    <row r="22" spans="1:11">
      <c r="A22" s="4"/>
      <c r="B22" s="4"/>
      <c r="C22" s="4"/>
      <c r="D22" s="4"/>
      <c r="E22" s="4"/>
      <c r="F22" s="4"/>
      <c r="G22" s="4"/>
      <c r="H22" s="4"/>
      <c r="I22" s="4"/>
      <c r="J22" s="4"/>
      <c r="K22" s="4"/>
    </row>
    <row r="23" spans="1:11">
      <c r="A23" s="4"/>
      <c r="B23" s="4"/>
      <c r="C23" s="4"/>
      <c r="D23" s="4"/>
      <c r="E23" s="4"/>
      <c r="F23" s="4"/>
      <c r="G23" s="4"/>
      <c r="H23" s="4"/>
      <c r="I23" s="4"/>
      <c r="J23" s="4"/>
      <c r="K23" s="4"/>
    </row>
    <row r="24" spans="1:11">
      <c r="A24" s="4"/>
      <c r="B24" s="4"/>
      <c r="C24" s="4"/>
      <c r="D24" s="4"/>
      <c r="E24" s="4"/>
      <c r="F24" s="4"/>
      <c r="G24" s="4"/>
      <c r="H24" s="4"/>
      <c r="I24" s="4"/>
      <c r="J24" s="4"/>
      <c r="K24" s="4"/>
    </row>
    <row r="26" spans="1:11" ht="24">
      <c r="A26" s="6" t="s">
        <v>6</v>
      </c>
    </row>
    <row r="27" spans="1:11" ht="18.75">
      <c r="A27" s="2" t="s">
        <v>7</v>
      </c>
    </row>
    <row r="28" spans="1:11" ht="18.75">
      <c r="A28" s="2"/>
    </row>
    <row r="29" spans="1:11" ht="18.75">
      <c r="A29" s="2" t="s">
        <v>8</v>
      </c>
    </row>
    <row r="30" spans="1:11" ht="18.75">
      <c r="A30" s="2" t="s">
        <v>9</v>
      </c>
    </row>
    <row r="31" spans="1:11" ht="18.75">
      <c r="A31" s="2" t="s">
        <v>10</v>
      </c>
    </row>
    <row r="32" spans="1:11" ht="18.75">
      <c r="A32" s="2" t="s">
        <v>11</v>
      </c>
    </row>
    <row r="33" spans="1:1" ht="18.75">
      <c r="A33" s="2" t="s">
        <v>12</v>
      </c>
    </row>
    <row r="34" spans="1:1" ht="18.75">
      <c r="A34" s="2" t="s">
        <v>13</v>
      </c>
    </row>
    <row r="36" spans="1:1" ht="24">
      <c r="A36" s="6" t="s">
        <v>14</v>
      </c>
    </row>
    <row r="37" spans="1:1" ht="18">
      <c r="A37" s="8" t="s">
        <v>15</v>
      </c>
    </row>
    <row r="38" spans="1:1">
      <c r="A38" s="7"/>
    </row>
    <row r="39" spans="1:1" ht="18.75">
      <c r="A39" s="2" t="s">
        <v>16</v>
      </c>
    </row>
    <row r="40" spans="1:1" ht="18.75">
      <c r="A40" s="2" t="s">
        <v>31</v>
      </c>
    </row>
    <row r="41" spans="1:1" ht="18.75">
      <c r="A41" s="2" t="s">
        <v>32</v>
      </c>
    </row>
    <row r="42" spans="1:1" ht="18.75">
      <c r="A42" s="2" t="s">
        <v>17</v>
      </c>
    </row>
    <row r="44" spans="1:1" ht="18">
      <c r="A44" s="8" t="s">
        <v>18</v>
      </c>
    </row>
    <row r="45" spans="1:1">
      <c r="A45" s="5"/>
    </row>
    <row r="46" spans="1:1" ht="18.75">
      <c r="A46" s="2" t="s">
        <v>19</v>
      </c>
    </row>
    <row r="48" spans="1:1" ht="18">
      <c r="A48" s="8" t="s">
        <v>20</v>
      </c>
    </row>
    <row r="49" spans="1:1" ht="18.75">
      <c r="A49" s="2" t="s">
        <v>21</v>
      </c>
    </row>
    <row r="50" spans="1:1" ht="18.75">
      <c r="A50" s="2"/>
    </row>
    <row r="51" spans="1:1" ht="18.75">
      <c r="A51" s="2" t="s">
        <v>22</v>
      </c>
    </row>
    <row r="52" spans="1:1" ht="18.75">
      <c r="A52" s="2" t="s">
        <v>23</v>
      </c>
    </row>
    <row r="53" spans="1:1" ht="18.75">
      <c r="A53" s="2" t="s">
        <v>24</v>
      </c>
    </row>
    <row r="54" spans="1:1" ht="18.75">
      <c r="A54" s="2" t="s">
        <v>25</v>
      </c>
    </row>
    <row r="55" spans="1:1" ht="18.75">
      <c r="A55" s="2" t="s">
        <v>11</v>
      </c>
    </row>
    <row r="56" spans="1:1" ht="18.75">
      <c r="A56" s="2" t="s">
        <v>26</v>
      </c>
    </row>
    <row r="58" spans="1:1" ht="18">
      <c r="A58" s="8" t="s">
        <v>27</v>
      </c>
    </row>
    <row r="59" spans="1:1" ht="18.75">
      <c r="A59" s="2" t="s">
        <v>28</v>
      </c>
    </row>
    <row r="60" spans="1:1" ht="18.75">
      <c r="A60" s="2"/>
    </row>
    <row r="61" spans="1:1" ht="18.75">
      <c r="A61" s="2" t="s">
        <v>29</v>
      </c>
    </row>
    <row r="62" spans="1:1" ht="18.75">
      <c r="A62" s="2"/>
    </row>
    <row r="63" spans="1:1" ht="18.75">
      <c r="A63" s="2" t="s">
        <v>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688D7-216E-4FBA-BE11-0D6CE7A5922C}">
  <sheetPr>
    <tabColor rgb="FF00B0F0"/>
  </sheetPr>
  <dimension ref="A1:U53"/>
  <sheetViews>
    <sheetView workbookViewId="0">
      <selection activeCell="H56" sqref="H56"/>
    </sheetView>
  </sheetViews>
  <sheetFormatPr defaultRowHeight="15"/>
  <sheetData>
    <row r="1" spans="1:21" ht="18.75">
      <c r="A1" s="3" t="s">
        <v>33</v>
      </c>
    </row>
    <row r="3" spans="1:21" ht="18.75">
      <c r="A3" s="2" t="s">
        <v>34</v>
      </c>
    </row>
    <row r="4" spans="1:21">
      <c r="A4" s="9"/>
      <c r="B4" s="9"/>
      <c r="C4" s="9"/>
      <c r="D4" s="9"/>
      <c r="E4" s="9"/>
      <c r="F4" s="9"/>
      <c r="G4" s="9"/>
      <c r="H4" s="9"/>
      <c r="I4" s="9"/>
      <c r="J4" s="9"/>
      <c r="K4" s="10"/>
      <c r="L4" s="10"/>
      <c r="M4" s="10"/>
      <c r="N4" s="10"/>
      <c r="O4" s="10"/>
      <c r="P4" s="10"/>
      <c r="Q4" s="10"/>
      <c r="R4" s="10"/>
      <c r="S4" s="10"/>
      <c r="T4" s="10"/>
      <c r="U4" s="10"/>
    </row>
    <row r="5" spans="1:21">
      <c r="A5" s="9"/>
      <c r="B5" s="9"/>
      <c r="C5" s="9"/>
      <c r="D5" s="9"/>
      <c r="E5" s="9"/>
      <c r="F5" s="9"/>
      <c r="G5" s="9"/>
      <c r="H5" s="9"/>
      <c r="I5" s="9"/>
      <c r="J5" s="9"/>
      <c r="K5" s="10"/>
      <c r="L5" s="10"/>
      <c r="M5" s="10"/>
      <c r="N5" s="10"/>
      <c r="O5" s="10"/>
      <c r="P5" s="10"/>
      <c r="Q5" s="10"/>
      <c r="R5" s="10"/>
      <c r="S5" s="10"/>
      <c r="T5" s="10"/>
      <c r="U5" s="10"/>
    </row>
    <row r="6" spans="1:21">
      <c r="A6" s="9"/>
      <c r="B6" s="9"/>
      <c r="C6" s="9"/>
      <c r="D6" s="9"/>
      <c r="E6" s="9"/>
      <c r="F6" s="9"/>
      <c r="G6" s="9"/>
      <c r="H6" s="9"/>
      <c r="I6" s="9"/>
      <c r="J6" s="9"/>
      <c r="K6" s="10"/>
      <c r="L6" s="10"/>
      <c r="M6" s="10"/>
      <c r="N6" s="10"/>
      <c r="O6" s="10"/>
      <c r="P6" s="10"/>
      <c r="Q6" s="10"/>
      <c r="R6" s="10"/>
      <c r="S6" s="10"/>
      <c r="T6" s="10"/>
      <c r="U6" s="10"/>
    </row>
    <row r="7" spans="1:21">
      <c r="A7" s="9"/>
      <c r="B7" s="9"/>
      <c r="C7" s="9"/>
      <c r="D7" s="9"/>
      <c r="E7" s="9"/>
      <c r="F7" s="9"/>
      <c r="G7" s="9"/>
      <c r="H7" s="9"/>
      <c r="I7" s="9"/>
      <c r="J7" s="9"/>
      <c r="K7" s="10"/>
      <c r="L7" s="10"/>
      <c r="M7" s="10"/>
      <c r="N7" s="10"/>
      <c r="O7" s="10"/>
      <c r="P7" s="10"/>
      <c r="Q7" s="10"/>
      <c r="R7" s="10"/>
      <c r="S7" s="10"/>
      <c r="T7" s="10"/>
      <c r="U7" s="10"/>
    </row>
    <row r="8" spans="1:21">
      <c r="A8" s="9"/>
      <c r="B8" s="9"/>
      <c r="C8" s="9"/>
      <c r="D8" s="9"/>
      <c r="E8" s="9"/>
      <c r="F8" s="9"/>
      <c r="G8" s="9"/>
      <c r="H8" s="9"/>
      <c r="I8" s="9"/>
      <c r="J8" s="9"/>
      <c r="K8" s="10"/>
      <c r="L8" s="10"/>
      <c r="M8" s="10"/>
      <c r="N8" s="10"/>
      <c r="O8" s="10"/>
      <c r="P8" s="10"/>
      <c r="Q8" s="10"/>
      <c r="R8" s="10"/>
      <c r="S8" s="10"/>
      <c r="T8" s="10"/>
      <c r="U8" s="10"/>
    </row>
    <row r="9" spans="1:21">
      <c r="A9" s="9"/>
      <c r="B9" s="9"/>
      <c r="C9" s="9"/>
      <c r="D9" s="9"/>
      <c r="E9" s="9"/>
      <c r="F9" s="9"/>
      <c r="G9" s="9"/>
      <c r="H9" s="9"/>
      <c r="I9" s="9"/>
      <c r="J9" s="9"/>
      <c r="K9" s="10"/>
      <c r="L9" s="10"/>
      <c r="M9" s="10"/>
      <c r="N9" s="10"/>
      <c r="O9" s="10"/>
      <c r="P9" s="10"/>
      <c r="Q9" s="10"/>
      <c r="R9" s="10"/>
      <c r="S9" s="10"/>
      <c r="T9" s="10"/>
      <c r="U9" s="10"/>
    </row>
    <row r="10" spans="1:21">
      <c r="A10" s="9"/>
      <c r="B10" s="9"/>
      <c r="C10" s="9"/>
      <c r="D10" s="9"/>
      <c r="E10" s="9"/>
      <c r="F10" s="9"/>
      <c r="G10" s="9"/>
      <c r="H10" s="9"/>
      <c r="I10" s="9"/>
      <c r="J10" s="9"/>
      <c r="K10" s="10"/>
      <c r="L10" s="10"/>
      <c r="M10" s="10"/>
      <c r="N10" s="10"/>
      <c r="O10" s="10"/>
      <c r="P10" s="10"/>
      <c r="Q10" s="10"/>
      <c r="R10" s="10"/>
      <c r="S10" s="10"/>
      <c r="T10" s="10"/>
      <c r="U10" s="10"/>
    </row>
    <row r="11" spans="1:21">
      <c r="A11" s="9"/>
      <c r="B11" s="9"/>
      <c r="C11" s="9"/>
      <c r="D11" s="9"/>
      <c r="E11" s="9"/>
      <c r="F11" s="9"/>
      <c r="G11" s="9"/>
      <c r="H11" s="9"/>
      <c r="I11" s="9"/>
      <c r="J11" s="9"/>
      <c r="K11" s="10"/>
      <c r="L11" s="10"/>
      <c r="M11" s="10"/>
      <c r="N11" s="10"/>
      <c r="O11" s="10"/>
      <c r="P11" s="10"/>
      <c r="Q11" s="10"/>
      <c r="R11" s="10"/>
      <c r="S11" s="10"/>
      <c r="T11" s="10"/>
      <c r="U11" s="10"/>
    </row>
    <row r="12" spans="1:21">
      <c r="A12" s="9"/>
      <c r="B12" s="9"/>
      <c r="C12" s="9"/>
      <c r="D12" s="9"/>
      <c r="E12" s="9"/>
      <c r="F12" s="9"/>
      <c r="G12" s="9"/>
      <c r="H12" s="9"/>
      <c r="I12" s="9"/>
      <c r="J12" s="9"/>
      <c r="K12" s="10"/>
      <c r="L12" s="10"/>
      <c r="M12" s="10"/>
      <c r="N12" s="10"/>
      <c r="O12" s="10"/>
      <c r="P12" s="10"/>
      <c r="Q12" s="10"/>
      <c r="R12" s="10"/>
      <c r="S12" s="10"/>
      <c r="T12" s="10"/>
      <c r="U12" s="10"/>
    </row>
    <row r="13" spans="1:21">
      <c r="A13" s="9"/>
      <c r="B13" s="9"/>
      <c r="C13" s="9"/>
      <c r="D13" s="9"/>
      <c r="E13" s="9"/>
      <c r="F13" s="9"/>
      <c r="G13" s="9"/>
      <c r="H13" s="9"/>
      <c r="I13" s="9"/>
      <c r="J13" s="9"/>
      <c r="K13" s="10"/>
      <c r="L13" s="10"/>
      <c r="M13" s="10"/>
      <c r="N13" s="10"/>
      <c r="O13" s="10"/>
      <c r="P13" s="10"/>
      <c r="Q13" s="10"/>
      <c r="R13" s="10"/>
      <c r="S13" s="10"/>
      <c r="T13" s="10"/>
      <c r="U13" s="10"/>
    </row>
    <row r="14" spans="1:21">
      <c r="A14" s="9"/>
      <c r="B14" s="9"/>
      <c r="C14" s="9"/>
      <c r="D14" s="9"/>
      <c r="E14" s="9"/>
      <c r="F14" s="9"/>
      <c r="G14" s="9"/>
      <c r="H14" s="9"/>
      <c r="I14" s="9"/>
      <c r="J14" s="9"/>
      <c r="K14" s="10"/>
      <c r="L14" s="10"/>
      <c r="M14" s="10"/>
      <c r="N14" s="10"/>
      <c r="O14" s="10"/>
      <c r="P14" s="10"/>
      <c r="Q14" s="10"/>
      <c r="R14" s="10"/>
      <c r="S14" s="10"/>
      <c r="T14" s="10"/>
      <c r="U14" s="10"/>
    </row>
    <row r="15" spans="1:21">
      <c r="A15" s="9"/>
      <c r="B15" s="9"/>
      <c r="C15" s="9"/>
      <c r="D15" s="9"/>
      <c r="E15" s="9"/>
      <c r="F15" s="9"/>
      <c r="G15" s="9"/>
      <c r="H15" s="9"/>
      <c r="I15" s="9"/>
      <c r="J15" s="9"/>
      <c r="K15" s="10"/>
      <c r="L15" s="10"/>
      <c r="M15" s="10"/>
      <c r="N15" s="10"/>
      <c r="O15" s="10"/>
      <c r="P15" s="10"/>
      <c r="Q15" s="10"/>
      <c r="R15" s="10"/>
      <c r="S15" s="10"/>
      <c r="T15" s="10"/>
      <c r="U15" s="10"/>
    </row>
    <row r="16" spans="1:21">
      <c r="A16" s="9"/>
      <c r="B16" s="9"/>
      <c r="C16" s="9"/>
      <c r="D16" s="9"/>
      <c r="E16" s="9"/>
      <c r="F16" s="9"/>
      <c r="G16" s="9"/>
      <c r="H16" s="9"/>
      <c r="I16" s="9"/>
      <c r="J16" s="9"/>
      <c r="K16" s="10"/>
      <c r="L16" s="10"/>
      <c r="M16" s="10"/>
      <c r="N16" s="10"/>
      <c r="O16" s="10"/>
      <c r="P16" s="10"/>
      <c r="Q16" s="10"/>
      <c r="R16" s="10"/>
      <c r="S16" s="10"/>
      <c r="T16" s="10"/>
      <c r="U16" s="10"/>
    </row>
    <row r="17" spans="1:21">
      <c r="A17" s="9"/>
      <c r="B17" s="9"/>
      <c r="C17" s="9"/>
      <c r="D17" s="9"/>
      <c r="E17" s="9"/>
      <c r="F17" s="9"/>
      <c r="G17" s="9"/>
      <c r="H17" s="9"/>
      <c r="I17" s="9"/>
      <c r="J17" s="9"/>
      <c r="K17" s="10"/>
      <c r="L17" s="10"/>
      <c r="M17" s="10"/>
      <c r="N17" s="10"/>
      <c r="O17" s="10"/>
      <c r="P17" s="10"/>
      <c r="Q17" s="10"/>
      <c r="R17" s="10"/>
      <c r="S17" s="10"/>
      <c r="T17" s="10"/>
      <c r="U17" s="10"/>
    </row>
    <row r="18" spans="1:21">
      <c r="A18" s="9"/>
      <c r="B18" s="9"/>
      <c r="C18" s="9"/>
      <c r="D18" s="9"/>
      <c r="E18" s="9"/>
      <c r="F18" s="9"/>
      <c r="G18" s="9"/>
      <c r="H18" s="9"/>
      <c r="I18" s="9"/>
      <c r="J18" s="9"/>
      <c r="K18" s="10"/>
      <c r="L18" s="10"/>
      <c r="M18" s="10"/>
      <c r="N18" s="10"/>
      <c r="O18" s="10"/>
      <c r="P18" s="10"/>
      <c r="Q18" s="10"/>
      <c r="R18" s="10"/>
      <c r="S18" s="10"/>
      <c r="T18" s="10"/>
      <c r="U18" s="10"/>
    </row>
    <row r="19" spans="1:21">
      <c r="A19" s="9"/>
      <c r="B19" s="9"/>
      <c r="C19" s="9"/>
      <c r="D19" s="9"/>
      <c r="E19" s="9"/>
      <c r="F19" s="9"/>
      <c r="G19" s="9"/>
      <c r="H19" s="9"/>
      <c r="I19" s="9"/>
      <c r="J19" s="9"/>
      <c r="K19" s="10"/>
      <c r="L19" s="10"/>
      <c r="M19" s="10"/>
      <c r="N19" s="10"/>
      <c r="O19" s="10"/>
      <c r="P19" s="10"/>
      <c r="Q19" s="10"/>
      <c r="R19" s="10"/>
      <c r="S19" s="10"/>
      <c r="T19" s="10"/>
      <c r="U19" s="10"/>
    </row>
    <row r="20" spans="1:21">
      <c r="A20" s="9"/>
      <c r="B20" s="9"/>
      <c r="C20" s="9"/>
      <c r="D20" s="9"/>
      <c r="E20" s="9"/>
      <c r="F20" s="9"/>
      <c r="G20" s="9"/>
      <c r="H20" s="9"/>
      <c r="I20" s="9"/>
      <c r="J20" s="9"/>
      <c r="K20" s="10"/>
      <c r="L20" s="10"/>
      <c r="M20" s="10"/>
      <c r="N20" s="10"/>
      <c r="O20" s="10"/>
      <c r="P20" s="10"/>
      <c r="Q20" s="10"/>
      <c r="R20" s="10"/>
      <c r="S20" s="10"/>
      <c r="T20" s="10"/>
      <c r="U20" s="10"/>
    </row>
    <row r="21" spans="1:21">
      <c r="A21" s="9"/>
      <c r="B21" s="9"/>
      <c r="C21" s="9"/>
      <c r="D21" s="9"/>
      <c r="E21" s="9"/>
      <c r="F21" s="9"/>
      <c r="G21" s="9"/>
      <c r="H21" s="9"/>
      <c r="I21" s="9"/>
      <c r="J21" s="9"/>
      <c r="K21" s="10"/>
      <c r="L21" s="10"/>
      <c r="M21" s="10"/>
      <c r="N21" s="10"/>
      <c r="O21" s="10"/>
      <c r="P21" s="10"/>
      <c r="Q21" s="10"/>
      <c r="R21" s="10"/>
      <c r="S21" s="10"/>
      <c r="T21" s="10"/>
      <c r="U21" s="10"/>
    </row>
    <row r="23" spans="1:21" ht="24">
      <c r="A23" s="6" t="s">
        <v>35</v>
      </c>
    </row>
    <row r="24" spans="1:21">
      <c r="G24" t="s">
        <v>57</v>
      </c>
      <c r="H24" t="s">
        <v>58</v>
      </c>
      <c r="I24" t="s">
        <v>59</v>
      </c>
      <c r="J24" t="s">
        <v>60</v>
      </c>
    </row>
    <row r="25" spans="1:21" ht="18">
      <c r="A25" s="8" t="s">
        <v>36</v>
      </c>
      <c r="G25">
        <v>1</v>
      </c>
      <c r="H25" t="s">
        <v>61</v>
      </c>
      <c r="I25">
        <v>38</v>
      </c>
      <c r="J25">
        <v>80000</v>
      </c>
    </row>
    <row r="26" spans="1:21" ht="18.75">
      <c r="A26" s="2" t="s">
        <v>37</v>
      </c>
      <c r="G26">
        <v>2</v>
      </c>
      <c r="H26" t="s">
        <v>62</v>
      </c>
      <c r="I26">
        <v>36</v>
      </c>
      <c r="J26">
        <v>55000</v>
      </c>
    </row>
    <row r="27" spans="1:21" ht="18.75">
      <c r="A27" s="2" t="s">
        <v>38</v>
      </c>
      <c r="G27">
        <v>3</v>
      </c>
      <c r="H27" t="s">
        <v>63</v>
      </c>
      <c r="I27">
        <v>32</v>
      </c>
      <c r="J27">
        <v>60000</v>
      </c>
    </row>
    <row r="28" spans="1:21">
      <c r="G28">
        <v>4</v>
      </c>
      <c r="H28" t="s">
        <v>64</v>
      </c>
      <c r="I28">
        <v>33</v>
      </c>
      <c r="J28">
        <v>65000</v>
      </c>
    </row>
    <row r="29" spans="1:21" ht="18.75">
      <c r="A29" s="2" t="s">
        <v>39</v>
      </c>
    </row>
    <row r="30" spans="1:21" ht="18.75">
      <c r="A30" s="2" t="s">
        <v>40</v>
      </c>
    </row>
    <row r="31" spans="1:21" ht="18.75">
      <c r="A31" s="2" t="s">
        <v>41</v>
      </c>
    </row>
    <row r="32" spans="1:21" ht="18.75">
      <c r="A32" s="2" t="s">
        <v>42</v>
      </c>
    </row>
    <row r="34" spans="1:1" ht="18">
      <c r="A34" s="8" t="s">
        <v>43</v>
      </c>
    </row>
    <row r="35" spans="1:1" ht="18.75">
      <c r="A35" s="2" t="s">
        <v>44</v>
      </c>
    </row>
    <row r="36" spans="1:1" ht="18.75">
      <c r="A36" s="2" t="s">
        <v>45</v>
      </c>
    </row>
    <row r="37" spans="1:1" ht="18.75">
      <c r="A37" s="2"/>
    </row>
    <row r="38" spans="1:1" ht="18.75">
      <c r="A38" s="2" t="s">
        <v>39</v>
      </c>
    </row>
    <row r="39" spans="1:1" ht="18.75">
      <c r="A39" s="2" t="s">
        <v>46</v>
      </c>
    </row>
    <row r="40" spans="1:1" ht="18.75">
      <c r="A40" s="2" t="s">
        <v>47</v>
      </c>
    </row>
    <row r="41" spans="1:1" ht="18.75">
      <c r="A41" s="2" t="s">
        <v>48</v>
      </c>
    </row>
    <row r="43" spans="1:1" ht="18">
      <c r="A43" s="8" t="s">
        <v>49</v>
      </c>
    </row>
    <row r="45" spans="1:1" ht="18.75">
      <c r="A45" s="2" t="s">
        <v>50</v>
      </c>
    </row>
    <row r="46" spans="1:1" ht="18.75">
      <c r="A46" s="2" t="s">
        <v>51</v>
      </c>
    </row>
    <row r="47" spans="1:1" ht="18.75">
      <c r="A47" s="2" t="s">
        <v>52</v>
      </c>
    </row>
    <row r="48" spans="1:1" ht="18.75">
      <c r="A48" s="2" t="s">
        <v>53</v>
      </c>
    </row>
    <row r="50" spans="1:1" ht="18">
      <c r="A50" s="8" t="s">
        <v>54</v>
      </c>
    </row>
    <row r="51" spans="1:1" ht="18.75">
      <c r="A51" s="2" t="s">
        <v>55</v>
      </c>
    </row>
    <row r="52" spans="1:1" ht="18.75">
      <c r="A52" s="2"/>
    </row>
    <row r="53" spans="1:1" ht="18.75">
      <c r="A53" s="2" t="s">
        <v>56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9492-70F1-4221-A88D-7E5D919E8D2B}">
  <sheetPr>
    <tabColor theme="8"/>
  </sheetPr>
  <dimension ref="A1:L13"/>
  <sheetViews>
    <sheetView workbookViewId="0">
      <selection activeCell="N15" sqref="N15"/>
    </sheetView>
  </sheetViews>
  <sheetFormatPr defaultRowHeight="15"/>
  <cols>
    <col min="2" max="2" width="16.28515625" bestFit="1" customWidth="1"/>
    <col min="3" max="3" width="13.140625" bestFit="1" customWidth="1"/>
    <col min="4" max="4" width="8.7109375" bestFit="1" customWidth="1"/>
    <col min="5" max="5" width="13.85546875" bestFit="1" customWidth="1"/>
  </cols>
  <sheetData>
    <row r="1" spans="1:12">
      <c r="A1" s="11" t="s">
        <v>65</v>
      </c>
      <c r="B1" s="11" t="s">
        <v>66</v>
      </c>
      <c r="C1" s="11" t="s">
        <v>67</v>
      </c>
      <c r="D1" s="11" t="s">
        <v>68</v>
      </c>
      <c r="E1" s="11" t="s">
        <v>69</v>
      </c>
      <c r="H1" s="20" t="s">
        <v>129</v>
      </c>
      <c r="I1" s="20" t="s">
        <v>105</v>
      </c>
      <c r="K1" s="11" t="s">
        <v>129</v>
      </c>
      <c r="L1" s="11" t="s">
        <v>105</v>
      </c>
    </row>
    <row r="2" spans="1:12">
      <c r="A2" s="12">
        <v>1001</v>
      </c>
      <c r="B2" s="12" t="s">
        <v>70</v>
      </c>
      <c r="C2" s="12" t="s">
        <v>71</v>
      </c>
      <c r="D2" s="12">
        <v>2</v>
      </c>
      <c r="E2" s="12">
        <v>120000</v>
      </c>
      <c r="G2">
        <v>1</v>
      </c>
      <c r="H2" s="21" t="s">
        <v>130</v>
      </c>
      <c r="I2" s="21">
        <v>10000</v>
      </c>
      <c r="K2" s="25">
        <v>46046</v>
      </c>
      <c r="L2" s="12">
        <v>12000</v>
      </c>
    </row>
    <row r="3" spans="1:12">
      <c r="A3" s="12">
        <v>1002</v>
      </c>
      <c r="B3" s="12" t="s">
        <v>72</v>
      </c>
      <c r="C3" s="12" t="s">
        <v>73</v>
      </c>
      <c r="D3" s="12">
        <v>3</v>
      </c>
      <c r="E3" s="12">
        <v>75000</v>
      </c>
      <c r="G3">
        <v>2</v>
      </c>
      <c r="H3" s="21" t="s">
        <v>131</v>
      </c>
      <c r="I3" s="21">
        <v>12000</v>
      </c>
      <c r="K3" s="25">
        <v>46077</v>
      </c>
      <c r="L3" s="12">
        <v>13500</v>
      </c>
    </row>
    <row r="4" spans="1:12">
      <c r="A4" s="12">
        <v>1003</v>
      </c>
      <c r="B4" s="12" t="s">
        <v>74</v>
      </c>
      <c r="C4" s="12" t="s">
        <v>75</v>
      </c>
      <c r="D4" s="12">
        <v>1</v>
      </c>
      <c r="E4" s="12">
        <v>35000</v>
      </c>
      <c r="G4">
        <v>3</v>
      </c>
      <c r="H4" s="21" t="s">
        <v>132</v>
      </c>
      <c r="I4" s="21">
        <v>15000</v>
      </c>
      <c r="K4" s="25">
        <v>46105</v>
      </c>
      <c r="L4" s="12">
        <v>15000</v>
      </c>
    </row>
    <row r="5" spans="1:12">
      <c r="A5" s="12">
        <v>1004</v>
      </c>
      <c r="B5" s="12" t="s">
        <v>76</v>
      </c>
      <c r="C5" s="12" t="s">
        <v>77</v>
      </c>
      <c r="D5" s="12">
        <v>5</v>
      </c>
      <c r="E5" s="12">
        <v>15000</v>
      </c>
      <c r="G5">
        <v>4</v>
      </c>
      <c r="H5" s="21" t="s">
        <v>133</v>
      </c>
      <c r="I5" s="21">
        <v>18000</v>
      </c>
      <c r="K5" s="25">
        <v>46136</v>
      </c>
      <c r="L5" s="12">
        <v>14500</v>
      </c>
    </row>
    <row r="6" spans="1:12">
      <c r="A6" s="12">
        <v>1005</v>
      </c>
      <c r="B6" s="12" t="s">
        <v>78</v>
      </c>
      <c r="C6" s="12" t="s">
        <v>79</v>
      </c>
      <c r="D6" s="12">
        <v>2</v>
      </c>
      <c r="E6" s="12">
        <v>40000</v>
      </c>
      <c r="G6">
        <v>5</v>
      </c>
      <c r="H6" s="21" t="s">
        <v>134</v>
      </c>
      <c r="I6" s="21">
        <v>20000</v>
      </c>
      <c r="K6" s="25">
        <v>46166</v>
      </c>
      <c r="L6" s="12">
        <v>17000</v>
      </c>
    </row>
    <row r="7" spans="1:12">
      <c r="A7" s="12">
        <v>1006</v>
      </c>
      <c r="B7" s="12" t="s">
        <v>80</v>
      </c>
      <c r="C7" s="12" t="s">
        <v>81</v>
      </c>
      <c r="D7" s="12">
        <v>10</v>
      </c>
      <c r="E7" s="12">
        <v>12000</v>
      </c>
      <c r="G7">
        <v>6</v>
      </c>
      <c r="H7" s="21" t="s">
        <v>135</v>
      </c>
      <c r="I7" s="22">
        <f>FORECAST(G7,I2:I6,G2:G6)</f>
        <v>22800</v>
      </c>
      <c r="K7" s="25">
        <v>46197</v>
      </c>
      <c r="L7" s="12">
        <v>18000</v>
      </c>
    </row>
    <row r="8" spans="1:12">
      <c r="A8" s="12">
        <v>1007</v>
      </c>
      <c r="B8" s="12" t="s">
        <v>82</v>
      </c>
      <c r="C8" s="12" t="s">
        <v>83</v>
      </c>
      <c r="D8" s="12">
        <v>15</v>
      </c>
      <c r="E8" s="12">
        <v>9000</v>
      </c>
      <c r="G8">
        <v>7</v>
      </c>
      <c r="H8" s="21" t="s">
        <v>136</v>
      </c>
      <c r="I8" s="22">
        <f t="shared" ref="I8:I10" si="0">FORECAST(G8,I3:I7,G3:G7)</f>
        <v>25540</v>
      </c>
      <c r="K8" s="25">
        <v>46227</v>
      </c>
      <c r="L8" s="12">
        <v>19500</v>
      </c>
    </row>
    <row r="9" spans="1:12">
      <c r="A9" s="12">
        <v>1008</v>
      </c>
      <c r="B9" s="12" t="s">
        <v>84</v>
      </c>
      <c r="C9" s="12" t="s">
        <v>85</v>
      </c>
      <c r="D9" s="12">
        <v>1</v>
      </c>
      <c r="E9" s="12">
        <v>18000</v>
      </c>
      <c r="G9">
        <v>8</v>
      </c>
      <c r="H9" s="21" t="s">
        <v>137</v>
      </c>
      <c r="I9" s="22">
        <f t="shared" si="0"/>
        <v>28032</v>
      </c>
      <c r="K9" s="25">
        <v>46258</v>
      </c>
      <c r="L9" s="12">
        <v>21000</v>
      </c>
    </row>
    <row r="10" spans="1:12">
      <c r="A10" s="12">
        <v>1009</v>
      </c>
      <c r="B10" s="12" t="s">
        <v>86</v>
      </c>
      <c r="C10" s="12" t="s">
        <v>87</v>
      </c>
      <c r="D10" s="12">
        <v>4</v>
      </c>
      <c r="E10" s="12">
        <v>16000</v>
      </c>
      <c r="G10">
        <v>9</v>
      </c>
      <c r="H10" s="21" t="s">
        <v>138</v>
      </c>
      <c r="I10" s="22">
        <f t="shared" si="0"/>
        <v>30555.600000000002</v>
      </c>
      <c r="K10" s="25">
        <v>46289</v>
      </c>
      <c r="L10" s="12">
        <v>22000</v>
      </c>
    </row>
    <row r="11" spans="1:12">
      <c r="A11" s="12">
        <v>1010</v>
      </c>
      <c r="B11" s="12" t="s">
        <v>88</v>
      </c>
      <c r="C11" s="12" t="s">
        <v>89</v>
      </c>
      <c r="D11" s="12">
        <v>3</v>
      </c>
      <c r="E11" s="12">
        <v>21000</v>
      </c>
      <c r="I11" s="23" t="s">
        <v>139</v>
      </c>
      <c r="K11" s="25">
        <v>46319</v>
      </c>
      <c r="L11" s="12">
        <v>24000</v>
      </c>
    </row>
    <row r="12" spans="1:12">
      <c r="K12" s="25">
        <v>46350</v>
      </c>
      <c r="L12" s="12">
        <v>26000</v>
      </c>
    </row>
    <row r="13" spans="1:12">
      <c r="K13" s="25">
        <v>46380</v>
      </c>
      <c r="L13" s="12">
        <v>28000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0067-1506-42B3-963C-A4E3CBD67861}">
  <dimension ref="A1:E16"/>
  <sheetViews>
    <sheetView workbookViewId="0">
      <selection activeCell="E20" sqref="E20"/>
    </sheetView>
  </sheetViews>
  <sheetFormatPr defaultRowHeight="15"/>
  <cols>
    <col min="3" max="3" width="17.140625" customWidth="1"/>
    <col min="4" max="5" width="32" customWidth="1"/>
  </cols>
  <sheetData>
    <row r="1" spans="1:5">
      <c r="A1" t="s">
        <v>129</v>
      </c>
      <c r="B1" t="s">
        <v>105</v>
      </c>
      <c r="C1" t="s">
        <v>140</v>
      </c>
      <c r="D1" t="s">
        <v>141</v>
      </c>
      <c r="E1" t="s">
        <v>142</v>
      </c>
    </row>
    <row r="2" spans="1:5">
      <c r="A2" s="24">
        <v>46046</v>
      </c>
      <c r="B2">
        <v>12000</v>
      </c>
    </row>
    <row r="3" spans="1:5">
      <c r="A3" s="24">
        <v>46077</v>
      </c>
      <c r="B3">
        <v>13500</v>
      </c>
    </row>
    <row r="4" spans="1:5">
      <c r="A4" s="24">
        <v>46105</v>
      </c>
      <c r="B4">
        <v>15000</v>
      </c>
    </row>
    <row r="5" spans="1:5">
      <c r="A5" s="24">
        <v>46136</v>
      </c>
      <c r="B5">
        <v>14500</v>
      </c>
    </row>
    <row r="6" spans="1:5">
      <c r="A6" s="24">
        <v>46166</v>
      </c>
      <c r="B6">
        <v>17000</v>
      </c>
    </row>
    <row r="7" spans="1:5">
      <c r="A7" s="24">
        <v>46197</v>
      </c>
      <c r="B7">
        <v>18000</v>
      </c>
    </row>
    <row r="8" spans="1:5">
      <c r="A8" s="24">
        <v>46227</v>
      </c>
      <c r="B8">
        <v>19500</v>
      </c>
    </row>
    <row r="9" spans="1:5">
      <c r="A9" s="24">
        <v>46258</v>
      </c>
      <c r="B9">
        <v>21000</v>
      </c>
    </row>
    <row r="10" spans="1:5">
      <c r="A10" s="24">
        <v>46289</v>
      </c>
      <c r="B10">
        <v>22000</v>
      </c>
    </row>
    <row r="11" spans="1:5">
      <c r="A11" s="24">
        <v>46319</v>
      </c>
      <c r="B11">
        <v>24000</v>
      </c>
    </row>
    <row r="12" spans="1:5">
      <c r="A12" s="24">
        <v>46350</v>
      </c>
      <c r="B12">
        <v>26000</v>
      </c>
    </row>
    <row r="13" spans="1:5">
      <c r="A13" s="24">
        <v>46380</v>
      </c>
      <c r="B13">
        <v>28000</v>
      </c>
      <c r="C13">
        <v>28000</v>
      </c>
      <c r="D13" s="26">
        <v>28000</v>
      </c>
      <c r="E13" s="26">
        <v>28000</v>
      </c>
    </row>
    <row r="14" spans="1:5">
      <c r="A14" s="24">
        <v>46411</v>
      </c>
      <c r="C14">
        <f>_xlfn.FORECAST.ETS(A14,$B$2:$B$13,$A$2:$A$13,1,1)</f>
        <v>28540.189732286963</v>
      </c>
      <c r="D14" s="26">
        <f>C14-_xlfn.FORECAST.ETS.CONFINT(A14,$B$2:$B$13,$A$2:$A$13,0.95,1,1)</f>
        <v>27155.63269653621</v>
      </c>
      <c r="E14" s="26">
        <f>C14+_xlfn.FORECAST.ETS.CONFINT(A14,$B$2:$B$13,$A$2:$A$13,0.95,1,1)</f>
        <v>29924.746768037716</v>
      </c>
    </row>
    <row r="15" spans="1:5">
      <c r="A15" s="24">
        <v>46442</v>
      </c>
      <c r="C15">
        <f>_xlfn.FORECAST.ETS(A15,$B$2:$B$13,$A$2:$A$13,1,1)</f>
        <v>29946.225899508056</v>
      </c>
      <c r="D15" s="26">
        <f>C15-_xlfn.FORECAST.ETS.CONFINT(A15,$B$2:$B$13,$A$2:$A$13,0.95,1,1)</f>
        <v>28518.720737375301</v>
      </c>
      <c r="E15" s="26">
        <f>C15+_xlfn.FORECAST.ETS.CONFINT(A15,$B$2:$B$13,$A$2:$A$13,0.95,1,1)</f>
        <v>31373.73106164081</v>
      </c>
    </row>
    <row r="16" spans="1:5">
      <c r="A16" s="24">
        <v>46470</v>
      </c>
      <c r="C16">
        <f>_xlfn.FORECAST.ETS(A16,$B$2:$B$13,$A$2:$A$13,1,1)</f>
        <v>31352.262066729145</v>
      </c>
      <c r="D16" s="26">
        <f>C16-_xlfn.FORECAST.ETS.CONFINT(A16,$B$2:$B$13,$A$2:$A$13,0.95,1,1)</f>
        <v>29882.73559855255</v>
      </c>
      <c r="E16" s="26">
        <f>C16+_xlfn.FORECAST.ETS.CONFINT(A16,$B$2:$B$13,$A$2:$A$13,0.95,1,1)</f>
        <v>32821.78853490574</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DEA1E-F5FD-4AF1-8090-A387C2CC04A5}">
  <sheetPr>
    <tabColor rgb="FFFF0000"/>
  </sheetPr>
  <dimension ref="A1:U66"/>
  <sheetViews>
    <sheetView topLeftCell="A52" workbookViewId="0">
      <selection activeCell="A63" sqref="A63"/>
    </sheetView>
  </sheetViews>
  <sheetFormatPr defaultRowHeight="15"/>
  <sheetData>
    <row r="1" spans="1:21" ht="18.75">
      <c r="A1" s="16" t="s">
        <v>92</v>
      </c>
    </row>
    <row r="3" spans="1:21" ht="18.75">
      <c r="A3" s="2" t="s">
        <v>93</v>
      </c>
    </row>
    <row r="5" spans="1:21">
      <c r="A5" s="17"/>
      <c r="B5" s="17"/>
      <c r="C5" s="17"/>
      <c r="D5" s="17"/>
      <c r="E5" s="17"/>
      <c r="F5" s="17"/>
      <c r="G5" s="17"/>
      <c r="H5" s="17"/>
      <c r="I5" s="17"/>
      <c r="J5" s="17"/>
      <c r="L5" s="18"/>
      <c r="M5" s="18"/>
      <c r="N5" s="18"/>
      <c r="O5" s="18"/>
      <c r="P5" s="18"/>
      <c r="Q5" s="18"/>
      <c r="R5" s="18"/>
      <c r="S5" s="18"/>
      <c r="T5" s="18"/>
      <c r="U5" s="18"/>
    </row>
    <row r="6" spans="1:21">
      <c r="A6" s="17"/>
      <c r="B6" s="17"/>
      <c r="C6" s="17"/>
      <c r="D6" s="17"/>
      <c r="E6" s="17"/>
      <c r="F6" s="17"/>
      <c r="G6" s="17"/>
      <c r="H6" s="17"/>
      <c r="I6" s="17"/>
      <c r="J6" s="17"/>
      <c r="L6" s="18"/>
      <c r="M6" s="18"/>
      <c r="N6" s="18"/>
      <c r="O6" s="18"/>
      <c r="P6" s="18"/>
      <c r="Q6" s="18"/>
      <c r="R6" s="18"/>
      <c r="S6" s="18"/>
      <c r="T6" s="18"/>
      <c r="U6" s="18"/>
    </row>
    <row r="7" spans="1:21">
      <c r="A7" s="17"/>
      <c r="B7" s="17"/>
      <c r="C7" s="17"/>
      <c r="D7" s="17"/>
      <c r="E7" s="17"/>
      <c r="F7" s="17"/>
      <c r="G7" s="17"/>
      <c r="H7" s="17"/>
      <c r="I7" s="17"/>
      <c r="J7" s="17"/>
      <c r="L7" s="18"/>
      <c r="M7" s="18"/>
      <c r="N7" s="18"/>
      <c r="O7" s="18"/>
      <c r="P7" s="18"/>
      <c r="Q7" s="18"/>
      <c r="R7" s="18"/>
      <c r="S7" s="18"/>
      <c r="T7" s="18"/>
      <c r="U7" s="18"/>
    </row>
    <row r="8" spans="1:21">
      <c r="A8" s="17"/>
      <c r="B8" s="17"/>
      <c r="C8" s="17"/>
      <c r="D8" s="17"/>
      <c r="E8" s="17"/>
      <c r="F8" s="17"/>
      <c r="G8" s="17"/>
      <c r="H8" s="17"/>
      <c r="I8" s="17"/>
      <c r="J8" s="17"/>
      <c r="L8" s="18"/>
      <c r="M8" s="18"/>
      <c r="N8" s="18"/>
      <c r="O8" s="18"/>
      <c r="P8" s="18"/>
      <c r="Q8" s="18"/>
      <c r="R8" s="18"/>
      <c r="S8" s="18"/>
      <c r="T8" s="18"/>
      <c r="U8" s="18"/>
    </row>
    <row r="9" spans="1:21">
      <c r="A9" s="17"/>
      <c r="B9" s="17"/>
      <c r="C9" s="17"/>
      <c r="D9" s="17"/>
      <c r="E9" s="17"/>
      <c r="F9" s="17"/>
      <c r="G9" s="17"/>
      <c r="H9" s="17"/>
      <c r="I9" s="17"/>
      <c r="J9" s="17"/>
      <c r="L9" s="18"/>
      <c r="M9" s="18"/>
      <c r="N9" s="18"/>
      <c r="O9" s="18"/>
      <c r="P9" s="18"/>
      <c r="Q9" s="18"/>
      <c r="R9" s="18"/>
      <c r="S9" s="18"/>
      <c r="T9" s="18"/>
      <c r="U9" s="18"/>
    </row>
    <row r="10" spans="1:21">
      <c r="A10" s="17"/>
      <c r="B10" s="17"/>
      <c r="C10" s="17"/>
      <c r="D10" s="17"/>
      <c r="E10" s="17"/>
      <c r="F10" s="17"/>
      <c r="G10" s="17"/>
      <c r="H10" s="17"/>
      <c r="I10" s="17"/>
      <c r="J10" s="17"/>
      <c r="L10" s="18"/>
      <c r="M10" s="18"/>
      <c r="N10" s="18"/>
      <c r="O10" s="18"/>
      <c r="P10" s="18"/>
      <c r="Q10" s="18"/>
      <c r="R10" s="18"/>
      <c r="S10" s="18"/>
      <c r="T10" s="18"/>
      <c r="U10" s="18"/>
    </row>
    <row r="11" spans="1:21">
      <c r="A11" s="17"/>
      <c r="B11" s="17"/>
      <c r="C11" s="17"/>
      <c r="D11" s="17"/>
      <c r="E11" s="17"/>
      <c r="F11" s="17"/>
      <c r="G11" s="17"/>
      <c r="H11" s="17"/>
      <c r="I11" s="17"/>
      <c r="J11" s="17"/>
      <c r="L11" s="18"/>
      <c r="M11" s="18"/>
      <c r="N11" s="18"/>
      <c r="O11" s="18"/>
      <c r="P11" s="18"/>
      <c r="Q11" s="18"/>
      <c r="R11" s="18"/>
      <c r="S11" s="18"/>
      <c r="T11" s="18"/>
      <c r="U11" s="18"/>
    </row>
    <row r="12" spans="1:21">
      <c r="A12" s="17"/>
      <c r="B12" s="17"/>
      <c r="C12" s="17"/>
      <c r="D12" s="17"/>
      <c r="E12" s="17"/>
      <c r="F12" s="17"/>
      <c r="G12" s="17"/>
      <c r="H12" s="17"/>
      <c r="I12" s="17"/>
      <c r="J12" s="17"/>
      <c r="L12" s="18"/>
      <c r="M12" s="18"/>
      <c r="N12" s="18"/>
      <c r="O12" s="18"/>
      <c r="P12" s="18"/>
      <c r="Q12" s="18"/>
      <c r="R12" s="18"/>
      <c r="S12" s="18"/>
      <c r="T12" s="18"/>
      <c r="U12" s="18"/>
    </row>
    <row r="13" spans="1:21">
      <c r="A13" s="17"/>
      <c r="B13" s="17"/>
      <c r="C13" s="17"/>
      <c r="D13" s="17"/>
      <c r="E13" s="17"/>
      <c r="F13" s="17"/>
      <c r="G13" s="17"/>
      <c r="H13" s="17"/>
      <c r="I13" s="17"/>
      <c r="J13" s="17"/>
      <c r="L13" s="18"/>
      <c r="M13" s="18"/>
      <c r="N13" s="18"/>
      <c r="O13" s="18"/>
      <c r="P13" s="18"/>
      <c r="Q13" s="18"/>
      <c r="R13" s="18"/>
      <c r="S13" s="18"/>
      <c r="T13" s="18"/>
      <c r="U13" s="18"/>
    </row>
    <row r="14" spans="1:21">
      <c r="A14" s="17"/>
      <c r="B14" s="17"/>
      <c r="C14" s="17"/>
      <c r="D14" s="17"/>
      <c r="E14" s="17"/>
      <c r="F14" s="17"/>
      <c r="G14" s="17"/>
      <c r="H14" s="17"/>
      <c r="I14" s="17"/>
      <c r="J14" s="17"/>
      <c r="L14" s="18"/>
      <c r="M14" s="18"/>
      <c r="N14" s="18"/>
      <c r="O14" s="18"/>
      <c r="P14" s="18"/>
      <c r="Q14" s="18"/>
      <c r="R14" s="18"/>
      <c r="S14" s="18"/>
      <c r="T14" s="18"/>
      <c r="U14" s="18"/>
    </row>
    <row r="15" spans="1:21">
      <c r="A15" s="17"/>
      <c r="B15" s="17"/>
      <c r="C15" s="17"/>
      <c r="D15" s="17"/>
      <c r="E15" s="17"/>
      <c r="F15" s="17"/>
      <c r="G15" s="17"/>
      <c r="H15" s="17"/>
      <c r="I15" s="17"/>
      <c r="J15" s="17"/>
      <c r="L15" s="18"/>
      <c r="M15" s="18"/>
      <c r="N15" s="18"/>
      <c r="O15" s="18"/>
      <c r="P15" s="18"/>
      <c r="Q15" s="18"/>
      <c r="R15" s="18"/>
      <c r="S15" s="18"/>
      <c r="T15" s="18"/>
      <c r="U15" s="18"/>
    </row>
    <row r="16" spans="1:21">
      <c r="A16" s="17"/>
      <c r="B16" s="17"/>
      <c r="C16" s="17"/>
      <c r="D16" s="17"/>
      <c r="E16" s="17"/>
      <c r="F16" s="17"/>
      <c r="G16" s="17"/>
      <c r="H16" s="17"/>
      <c r="I16" s="17"/>
      <c r="J16" s="17"/>
      <c r="L16" s="18"/>
      <c r="M16" s="18"/>
      <c r="N16" s="18"/>
      <c r="O16" s="18"/>
      <c r="P16" s="18"/>
      <c r="Q16" s="18"/>
      <c r="R16" s="18"/>
      <c r="S16" s="18"/>
      <c r="T16" s="18"/>
      <c r="U16" s="18"/>
    </row>
    <row r="17" spans="1:21">
      <c r="A17" s="17"/>
      <c r="B17" s="17"/>
      <c r="C17" s="17"/>
      <c r="D17" s="17"/>
      <c r="E17" s="17"/>
      <c r="F17" s="17"/>
      <c r="G17" s="17"/>
      <c r="H17" s="17"/>
      <c r="I17" s="17"/>
      <c r="J17" s="17"/>
      <c r="L17" s="18"/>
      <c r="M17" s="18"/>
      <c r="N17" s="18"/>
      <c r="O17" s="18"/>
      <c r="P17" s="18"/>
      <c r="Q17" s="18"/>
      <c r="R17" s="18"/>
      <c r="S17" s="18"/>
      <c r="T17" s="18"/>
      <c r="U17" s="18"/>
    </row>
    <row r="18" spans="1:21">
      <c r="A18" s="17"/>
      <c r="B18" s="17"/>
      <c r="C18" s="17"/>
      <c r="D18" s="17"/>
      <c r="E18" s="17"/>
      <c r="F18" s="17"/>
      <c r="G18" s="17"/>
      <c r="H18" s="17"/>
      <c r="I18" s="17"/>
      <c r="J18" s="17"/>
      <c r="L18" s="18"/>
      <c r="M18" s="18"/>
      <c r="N18" s="18"/>
      <c r="O18" s="18"/>
      <c r="P18" s="18"/>
      <c r="Q18" s="18"/>
      <c r="R18" s="18"/>
      <c r="S18" s="18"/>
      <c r="T18" s="18"/>
      <c r="U18" s="18"/>
    </row>
    <row r="19" spans="1:21">
      <c r="A19" s="17"/>
      <c r="B19" s="17"/>
      <c r="C19" s="17"/>
      <c r="D19" s="17"/>
      <c r="E19" s="17"/>
      <c r="F19" s="17"/>
      <c r="G19" s="17"/>
      <c r="H19" s="17"/>
      <c r="I19" s="17"/>
      <c r="J19" s="17"/>
      <c r="L19" s="18"/>
      <c r="M19" s="18"/>
      <c r="N19" s="18"/>
      <c r="O19" s="18"/>
      <c r="P19" s="18"/>
      <c r="Q19" s="18"/>
      <c r="R19" s="18"/>
      <c r="S19" s="18"/>
      <c r="T19" s="18"/>
      <c r="U19" s="18"/>
    </row>
    <row r="20" spans="1:21">
      <c r="A20" s="17"/>
      <c r="B20" s="17"/>
      <c r="C20" s="17"/>
      <c r="D20" s="17"/>
      <c r="E20" s="17"/>
      <c r="F20" s="17"/>
      <c r="G20" s="17"/>
      <c r="H20" s="17"/>
      <c r="I20" s="17"/>
      <c r="J20" s="17"/>
      <c r="L20" s="18"/>
      <c r="M20" s="18"/>
      <c r="N20" s="18"/>
      <c r="O20" s="18"/>
      <c r="P20" s="18"/>
      <c r="Q20" s="18"/>
      <c r="R20" s="18"/>
      <c r="S20" s="18"/>
      <c r="T20" s="18"/>
      <c r="U20" s="18"/>
    </row>
    <row r="21" spans="1:21">
      <c r="A21" s="17"/>
      <c r="B21" s="17"/>
      <c r="C21" s="17"/>
      <c r="D21" s="17"/>
      <c r="E21" s="17"/>
      <c r="F21" s="17"/>
      <c r="G21" s="17"/>
      <c r="H21" s="17"/>
      <c r="I21" s="17"/>
      <c r="J21" s="17"/>
      <c r="L21" s="18"/>
      <c r="M21" s="18"/>
      <c r="N21" s="18"/>
      <c r="O21" s="18"/>
      <c r="P21" s="18"/>
      <c r="Q21" s="18"/>
      <c r="R21" s="18"/>
      <c r="S21" s="18"/>
      <c r="T21" s="18"/>
      <c r="U21" s="18"/>
    </row>
    <row r="22" spans="1:21">
      <c r="A22" s="17"/>
      <c r="B22" s="17"/>
      <c r="C22" s="17"/>
      <c r="D22" s="17"/>
      <c r="E22" s="17"/>
      <c r="F22" s="17"/>
      <c r="G22" s="17"/>
      <c r="H22" s="17"/>
      <c r="I22" s="17"/>
      <c r="J22" s="17"/>
      <c r="L22" s="18"/>
      <c r="M22" s="18"/>
      <c r="N22" s="18"/>
      <c r="O22" s="18"/>
      <c r="P22" s="18"/>
      <c r="Q22" s="18"/>
      <c r="R22" s="18"/>
      <c r="S22" s="18"/>
      <c r="T22" s="18"/>
      <c r="U22" s="18"/>
    </row>
    <row r="23" spans="1:21">
      <c r="A23" s="17"/>
      <c r="B23" s="17"/>
      <c r="C23" s="17"/>
      <c r="D23" s="17"/>
      <c r="E23" s="17"/>
      <c r="F23" s="17"/>
      <c r="G23" s="17"/>
      <c r="H23" s="17"/>
      <c r="I23" s="17"/>
      <c r="J23" s="17"/>
    </row>
    <row r="24" spans="1:21">
      <c r="A24" s="17"/>
      <c r="B24" s="17"/>
      <c r="C24" s="17"/>
      <c r="D24" s="17"/>
      <c r="E24" s="17"/>
      <c r="F24" s="17"/>
      <c r="G24" s="17"/>
      <c r="H24" s="17"/>
      <c r="I24" s="17"/>
      <c r="J24" s="17"/>
    </row>
    <row r="26" spans="1:21" ht="24">
      <c r="A26" s="6" t="s">
        <v>94</v>
      </c>
    </row>
    <row r="27" spans="1:21" ht="18.75">
      <c r="A27" s="2" t="s">
        <v>44</v>
      </c>
    </row>
    <row r="28" spans="1:21" ht="18.75">
      <c r="A28" s="2" t="s">
        <v>95</v>
      </c>
      <c r="E28" s="2" t="s">
        <v>103</v>
      </c>
      <c r="F28" s="2"/>
    </row>
    <row r="29" spans="1:21" ht="18.75">
      <c r="A29" s="2" t="s">
        <v>96</v>
      </c>
      <c r="E29" s="2" t="s">
        <v>104</v>
      </c>
      <c r="F29" s="2" t="s">
        <v>105</v>
      </c>
    </row>
    <row r="30" spans="1:21" ht="18.75">
      <c r="A30" s="2" t="s">
        <v>97</v>
      </c>
      <c r="B30" s="2"/>
      <c r="E30" s="19" t="s">
        <v>106</v>
      </c>
      <c r="F30" s="19">
        <v>500000</v>
      </c>
    </row>
    <row r="31" spans="1:21" ht="18.75">
      <c r="A31" s="2"/>
      <c r="B31" s="2"/>
      <c r="E31" s="19" t="s">
        <v>107</v>
      </c>
      <c r="F31" s="19">
        <v>350000</v>
      </c>
    </row>
    <row r="32" spans="1:21" ht="18.75">
      <c r="A32" s="2" t="s">
        <v>98</v>
      </c>
      <c r="B32" s="2"/>
    </row>
    <row r="33" spans="1:2" ht="18.75">
      <c r="A33" s="2" t="s">
        <v>99</v>
      </c>
      <c r="B33" s="2"/>
    </row>
    <row r="34" spans="1:2" ht="18.75">
      <c r="A34" s="2" t="s">
        <v>100</v>
      </c>
      <c r="B34" s="2"/>
    </row>
    <row r="35" spans="1:2" ht="18.75">
      <c r="A35" s="2" t="s">
        <v>101</v>
      </c>
      <c r="B35" s="2"/>
    </row>
    <row r="36" spans="1:2" ht="18.75">
      <c r="A36" s="2" t="s">
        <v>102</v>
      </c>
      <c r="B36" s="2"/>
    </row>
    <row r="38" spans="1:2" ht="24">
      <c r="A38" s="6" t="s">
        <v>108</v>
      </c>
    </row>
    <row r="39" spans="1:2" ht="18.75">
      <c r="A39" s="2" t="s">
        <v>109</v>
      </c>
    </row>
    <row r="40" spans="1:2" ht="18.75">
      <c r="A40" s="2"/>
    </row>
    <row r="41" spans="1:2" ht="18.75">
      <c r="A41" s="2" t="s">
        <v>110</v>
      </c>
    </row>
    <row r="42" spans="1:2" ht="18.75">
      <c r="A42" s="2" t="s">
        <v>111</v>
      </c>
    </row>
    <row r="43" spans="1:2" ht="18.75">
      <c r="A43" s="2" t="s">
        <v>112</v>
      </c>
    </row>
    <row r="44" spans="1:2" ht="18.75">
      <c r="A44" s="2" t="s">
        <v>113</v>
      </c>
    </row>
    <row r="45" spans="1:2" ht="18.75">
      <c r="A45" s="2"/>
    </row>
    <row r="46" spans="1:2" ht="18.75">
      <c r="A46" s="2" t="s">
        <v>114</v>
      </c>
    </row>
    <row r="47" spans="1:2" ht="18.75">
      <c r="A47" s="2"/>
    </row>
    <row r="48" spans="1:2" ht="18.75">
      <c r="A48" s="2" t="s">
        <v>115</v>
      </c>
    </row>
    <row r="50" spans="1:1" ht="24">
      <c r="A50" s="6" t="s">
        <v>116</v>
      </c>
    </row>
    <row r="51" spans="1:1" ht="18.75">
      <c r="A51" s="2" t="s">
        <v>44</v>
      </c>
    </row>
    <row r="52" spans="1:1" ht="18.75">
      <c r="A52" s="2" t="s">
        <v>117</v>
      </c>
    </row>
    <row r="53" spans="1:1" ht="18.75">
      <c r="A53" s="2"/>
    </row>
    <row r="54" spans="1:1" ht="18.75">
      <c r="A54" s="2" t="s">
        <v>118</v>
      </c>
    </row>
    <row r="55" spans="1:1" ht="18.75">
      <c r="A55" s="2" t="s">
        <v>119</v>
      </c>
    </row>
    <row r="56" spans="1:1" ht="18.75">
      <c r="A56" s="2" t="s">
        <v>120</v>
      </c>
    </row>
    <row r="57" spans="1:1" ht="18.75">
      <c r="A57" s="2" t="s">
        <v>121</v>
      </c>
    </row>
    <row r="59" spans="1:1" ht="24">
      <c r="A59" s="6" t="s">
        <v>122</v>
      </c>
    </row>
    <row r="60" spans="1:1" ht="18.75">
      <c r="A60" s="2" t="s">
        <v>123</v>
      </c>
    </row>
    <row r="61" spans="1:1" ht="18.75">
      <c r="A61" s="2" t="s">
        <v>124</v>
      </c>
    </row>
    <row r="62" spans="1:1" ht="18.75">
      <c r="A62" s="2"/>
    </row>
    <row r="63" spans="1:1" ht="18.75">
      <c r="A63" s="2" t="s">
        <v>125</v>
      </c>
    </row>
    <row r="64" spans="1:1" ht="18.75">
      <c r="A64" s="2" t="s">
        <v>126</v>
      </c>
    </row>
    <row r="65" spans="1:1" ht="18.75">
      <c r="A65" s="2" t="s">
        <v>127</v>
      </c>
    </row>
    <row r="66" spans="1:1" ht="18.75">
      <c r="A66" s="2" t="s">
        <v>128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82F8-E41B-4F7F-B036-60A1718F263C}">
  <sheetPr>
    <tabColor theme="6" tint="0.39997558519241921"/>
  </sheetPr>
  <dimension ref="A1:U63"/>
  <sheetViews>
    <sheetView workbookViewId="0">
      <selection activeCell="K11" sqref="K11"/>
    </sheetView>
  </sheetViews>
  <sheetFormatPr defaultRowHeight="15"/>
  <sheetData>
    <row r="1" spans="1:21" ht="18.75">
      <c r="A1" s="16" t="s">
        <v>143</v>
      </c>
    </row>
    <row r="3" spans="1:21" ht="18.75">
      <c r="A3" s="2" t="s">
        <v>144</v>
      </c>
    </row>
    <row r="5" spans="1:21">
      <c r="A5" s="27"/>
      <c r="B5" s="27"/>
      <c r="C5" s="27"/>
      <c r="D5" s="27"/>
      <c r="E5" s="27"/>
      <c r="F5" s="27"/>
      <c r="G5" s="27"/>
      <c r="H5" s="27"/>
      <c r="I5" s="27"/>
      <c r="J5" s="27"/>
    </row>
    <row r="6" spans="1:21">
      <c r="A6" s="27"/>
      <c r="B6" s="27"/>
      <c r="C6" s="27"/>
      <c r="D6" s="27"/>
      <c r="E6" s="27"/>
      <c r="F6" s="27"/>
      <c r="G6" s="27"/>
      <c r="H6" s="27"/>
      <c r="I6" s="27"/>
      <c r="J6" s="27"/>
      <c r="L6" s="10"/>
      <c r="M6" s="10"/>
      <c r="N6" s="10"/>
      <c r="O6" s="10"/>
      <c r="P6" s="10"/>
      <c r="Q6" s="10"/>
      <c r="R6" s="10"/>
      <c r="S6" s="10"/>
      <c r="T6" s="10"/>
      <c r="U6" s="10"/>
    </row>
    <row r="7" spans="1:21">
      <c r="A7" s="27"/>
      <c r="B7" s="27"/>
      <c r="C7" s="27"/>
      <c r="D7" s="27"/>
      <c r="E7" s="27"/>
      <c r="F7" s="27"/>
      <c r="G7" s="27"/>
      <c r="H7" s="27"/>
      <c r="I7" s="27"/>
      <c r="J7" s="27"/>
      <c r="L7" s="10"/>
      <c r="M7" s="10"/>
      <c r="N7" s="10"/>
      <c r="O7" s="10"/>
      <c r="P7" s="10"/>
      <c r="Q7" s="10"/>
      <c r="R7" s="10"/>
      <c r="S7" s="10"/>
      <c r="T7" s="10"/>
      <c r="U7" s="10"/>
    </row>
    <row r="8" spans="1:21">
      <c r="A8" s="27"/>
      <c r="B8" s="27"/>
      <c r="C8" s="27"/>
      <c r="D8" s="27"/>
      <c r="E8" s="27"/>
      <c r="F8" s="27"/>
      <c r="G8" s="27"/>
      <c r="H8" s="27"/>
      <c r="I8" s="27"/>
      <c r="J8" s="27"/>
      <c r="L8" s="10"/>
      <c r="M8" s="10"/>
      <c r="N8" s="10"/>
      <c r="O8" s="10"/>
      <c r="P8" s="10"/>
      <c r="Q8" s="10"/>
      <c r="R8" s="10"/>
      <c r="S8" s="10"/>
      <c r="T8" s="10"/>
      <c r="U8" s="10"/>
    </row>
    <row r="9" spans="1:21">
      <c r="A9" s="27"/>
      <c r="B9" s="27"/>
      <c r="C9" s="27"/>
      <c r="D9" s="27"/>
      <c r="E9" s="27"/>
      <c r="F9" s="27"/>
      <c r="G9" s="27"/>
      <c r="H9" s="27"/>
      <c r="I9" s="27"/>
      <c r="J9" s="27"/>
      <c r="L9" s="10"/>
      <c r="M9" s="10"/>
      <c r="N9" s="10"/>
      <c r="O9" s="10"/>
      <c r="P9" s="10"/>
      <c r="Q9" s="10"/>
      <c r="R9" s="10"/>
      <c r="S9" s="10"/>
      <c r="T9" s="10"/>
      <c r="U9" s="10"/>
    </row>
    <row r="10" spans="1:21">
      <c r="A10" s="27"/>
      <c r="B10" s="27"/>
      <c r="C10" s="27"/>
      <c r="D10" s="27"/>
      <c r="E10" s="27"/>
      <c r="F10" s="27"/>
      <c r="G10" s="27"/>
      <c r="H10" s="27"/>
      <c r="I10" s="27"/>
      <c r="J10" s="27"/>
      <c r="L10" s="10"/>
      <c r="M10" s="10"/>
      <c r="N10" s="10"/>
      <c r="O10" s="10"/>
      <c r="P10" s="10"/>
      <c r="Q10" s="10"/>
      <c r="R10" s="10"/>
      <c r="S10" s="10"/>
      <c r="T10" s="10"/>
      <c r="U10" s="10"/>
    </row>
    <row r="11" spans="1:21">
      <c r="A11" s="27"/>
      <c r="B11" s="27"/>
      <c r="C11" s="27"/>
      <c r="D11" s="27"/>
      <c r="E11" s="27"/>
      <c r="F11" s="27"/>
      <c r="G11" s="27"/>
      <c r="H11" s="27"/>
      <c r="I11" s="27"/>
      <c r="J11" s="27"/>
      <c r="L11" s="10"/>
      <c r="M11" s="10"/>
      <c r="N11" s="10"/>
      <c r="O11" s="10"/>
      <c r="P11" s="10"/>
      <c r="Q11" s="10"/>
      <c r="R11" s="10"/>
      <c r="S11" s="10"/>
      <c r="T11" s="10"/>
      <c r="U11" s="10"/>
    </row>
    <row r="12" spans="1:21">
      <c r="A12" s="27"/>
      <c r="B12" s="27"/>
      <c r="C12" s="27"/>
      <c r="D12" s="27"/>
      <c r="E12" s="27"/>
      <c r="F12" s="27"/>
      <c r="G12" s="27"/>
      <c r="H12" s="27"/>
      <c r="I12" s="27"/>
      <c r="J12" s="27"/>
      <c r="L12" s="10"/>
      <c r="M12" s="10"/>
      <c r="N12" s="10"/>
      <c r="O12" s="10"/>
      <c r="P12" s="10"/>
      <c r="Q12" s="10"/>
      <c r="R12" s="10"/>
      <c r="S12" s="10"/>
      <c r="T12" s="10"/>
      <c r="U12" s="10"/>
    </row>
    <row r="13" spans="1:21">
      <c r="A13" s="27"/>
      <c r="B13" s="27"/>
      <c r="C13" s="27"/>
      <c r="D13" s="27"/>
      <c r="E13" s="27"/>
      <c r="F13" s="27"/>
      <c r="G13" s="27"/>
      <c r="H13" s="27"/>
      <c r="I13" s="27"/>
      <c r="J13" s="27"/>
      <c r="L13" s="10"/>
      <c r="M13" s="10"/>
      <c r="N13" s="10"/>
      <c r="O13" s="10"/>
      <c r="P13" s="10"/>
      <c r="Q13" s="10"/>
      <c r="R13" s="10"/>
      <c r="S13" s="10"/>
      <c r="T13" s="10"/>
      <c r="U13" s="10"/>
    </row>
    <row r="14" spans="1:21">
      <c r="A14" s="27"/>
      <c r="B14" s="27"/>
      <c r="C14" s="27"/>
      <c r="D14" s="27"/>
      <c r="E14" s="27"/>
      <c r="F14" s="27"/>
      <c r="G14" s="27"/>
      <c r="H14" s="27"/>
      <c r="I14" s="27"/>
      <c r="J14" s="27"/>
      <c r="L14" s="10"/>
      <c r="M14" s="10"/>
      <c r="N14" s="10"/>
      <c r="O14" s="10"/>
      <c r="P14" s="10"/>
      <c r="Q14" s="10"/>
      <c r="R14" s="10"/>
      <c r="S14" s="10"/>
      <c r="T14" s="10"/>
      <c r="U14" s="10"/>
    </row>
    <row r="15" spans="1:21">
      <c r="A15" s="27"/>
      <c r="B15" s="27"/>
      <c r="C15" s="27"/>
      <c r="D15" s="27"/>
      <c r="E15" s="27"/>
      <c r="F15" s="27"/>
      <c r="G15" s="27"/>
      <c r="H15" s="27"/>
      <c r="I15" s="27"/>
      <c r="J15" s="27"/>
      <c r="L15" s="10"/>
      <c r="M15" s="10"/>
      <c r="N15" s="10"/>
      <c r="O15" s="10"/>
      <c r="P15" s="10"/>
      <c r="Q15" s="10"/>
      <c r="R15" s="10"/>
      <c r="S15" s="10"/>
      <c r="T15" s="10"/>
      <c r="U15" s="10"/>
    </row>
    <row r="16" spans="1:21">
      <c r="A16" s="27"/>
      <c r="B16" s="27"/>
      <c r="C16" s="27"/>
      <c r="D16" s="27"/>
      <c r="E16" s="27"/>
      <c r="F16" s="27"/>
      <c r="G16" s="27"/>
      <c r="H16" s="27"/>
      <c r="I16" s="27"/>
      <c r="J16" s="27"/>
      <c r="L16" s="10"/>
      <c r="M16" s="10"/>
      <c r="N16" s="10"/>
      <c r="O16" s="10"/>
      <c r="P16" s="10"/>
      <c r="Q16" s="10"/>
      <c r="R16" s="10"/>
      <c r="S16" s="10"/>
      <c r="T16" s="10"/>
      <c r="U16" s="10"/>
    </row>
    <row r="17" spans="1:21">
      <c r="A17" s="27"/>
      <c r="B17" s="27"/>
      <c r="C17" s="27"/>
      <c r="D17" s="27"/>
      <c r="E17" s="27"/>
      <c r="F17" s="27"/>
      <c r="G17" s="27"/>
      <c r="H17" s="27"/>
      <c r="I17" s="27"/>
      <c r="J17" s="27"/>
      <c r="L17" s="10"/>
      <c r="M17" s="10"/>
      <c r="N17" s="10"/>
      <c r="O17" s="10"/>
      <c r="P17" s="10"/>
      <c r="Q17" s="10"/>
      <c r="R17" s="10"/>
      <c r="S17" s="10"/>
      <c r="T17" s="10"/>
      <c r="U17" s="10"/>
    </row>
    <row r="18" spans="1:21">
      <c r="A18" s="27"/>
      <c r="B18" s="27"/>
      <c r="C18" s="27"/>
      <c r="D18" s="27"/>
      <c r="E18" s="27"/>
      <c r="F18" s="27"/>
      <c r="G18" s="27"/>
      <c r="H18" s="27"/>
      <c r="I18" s="27"/>
      <c r="J18" s="27"/>
      <c r="L18" s="10"/>
      <c r="M18" s="10"/>
      <c r="N18" s="10"/>
      <c r="O18" s="10"/>
      <c r="P18" s="10"/>
      <c r="Q18" s="10"/>
      <c r="R18" s="10"/>
      <c r="S18" s="10"/>
      <c r="T18" s="10"/>
      <c r="U18" s="10"/>
    </row>
    <row r="19" spans="1:21">
      <c r="A19" s="27"/>
      <c r="B19" s="27"/>
      <c r="C19" s="27"/>
      <c r="D19" s="27"/>
      <c r="E19" s="27"/>
      <c r="F19" s="27"/>
      <c r="G19" s="27"/>
      <c r="H19" s="27"/>
      <c r="I19" s="27"/>
      <c r="J19" s="27"/>
      <c r="L19" s="10"/>
      <c r="M19" s="10"/>
      <c r="N19" s="10"/>
      <c r="O19" s="10"/>
      <c r="P19" s="10"/>
      <c r="Q19" s="10"/>
      <c r="R19" s="10"/>
      <c r="S19" s="10"/>
      <c r="T19" s="10"/>
      <c r="U19" s="10"/>
    </row>
    <row r="20" spans="1:21">
      <c r="A20" s="27"/>
      <c r="B20" s="27"/>
      <c r="C20" s="27"/>
      <c r="D20" s="27"/>
      <c r="E20" s="27"/>
      <c r="F20" s="27"/>
      <c r="G20" s="27"/>
      <c r="H20" s="27"/>
      <c r="I20" s="27"/>
      <c r="J20" s="27"/>
      <c r="L20" s="10"/>
      <c r="M20" s="10"/>
      <c r="N20" s="10"/>
      <c r="O20" s="10"/>
      <c r="P20" s="10"/>
      <c r="Q20" s="10"/>
      <c r="R20" s="10"/>
      <c r="S20" s="10"/>
      <c r="T20" s="10"/>
      <c r="U20" s="10"/>
    </row>
    <row r="21" spans="1:21">
      <c r="A21" s="27"/>
      <c r="B21" s="27"/>
      <c r="C21" s="27"/>
      <c r="D21" s="27"/>
      <c r="E21" s="27"/>
      <c r="F21" s="27"/>
      <c r="G21" s="27"/>
      <c r="H21" s="27"/>
      <c r="I21" s="27"/>
      <c r="J21" s="27"/>
      <c r="L21" s="10"/>
      <c r="M21" s="10"/>
      <c r="N21" s="10"/>
      <c r="O21" s="10"/>
      <c r="P21" s="10"/>
      <c r="Q21" s="10"/>
      <c r="R21" s="10"/>
      <c r="S21" s="10"/>
      <c r="T21" s="10"/>
      <c r="U21" s="10"/>
    </row>
    <row r="22" spans="1:21">
      <c r="A22" s="27"/>
      <c r="B22" s="27"/>
      <c r="C22" s="27"/>
      <c r="D22" s="27"/>
      <c r="E22" s="27"/>
      <c r="F22" s="27"/>
      <c r="G22" s="27"/>
      <c r="H22" s="27"/>
      <c r="I22" s="27"/>
      <c r="J22" s="27"/>
    </row>
    <row r="23" spans="1:21">
      <c r="A23" s="27"/>
      <c r="B23" s="27"/>
      <c r="C23" s="27"/>
      <c r="D23" s="27"/>
      <c r="E23" s="27"/>
      <c r="F23" s="27"/>
      <c r="G23" s="27"/>
      <c r="H23" s="27"/>
      <c r="I23" s="27"/>
      <c r="J23" s="27"/>
    </row>
    <row r="24" spans="1:21">
      <c r="A24" s="27"/>
      <c r="B24" s="27"/>
      <c r="C24" s="27"/>
      <c r="D24" s="27"/>
      <c r="E24" s="27"/>
      <c r="F24" s="27"/>
      <c r="G24" s="27"/>
      <c r="H24" s="27"/>
      <c r="I24" s="27"/>
      <c r="J24" s="27"/>
    </row>
    <row r="25" spans="1:21">
      <c r="A25" s="27"/>
      <c r="B25" s="27"/>
      <c r="C25" s="27"/>
      <c r="D25" s="27"/>
      <c r="E25" s="27"/>
      <c r="F25" s="27"/>
      <c r="G25" s="27"/>
      <c r="H25" s="27"/>
      <c r="I25" s="27"/>
      <c r="J25" s="27"/>
    </row>
    <row r="27" spans="1:21" ht="24">
      <c r="A27" s="6" t="s">
        <v>145</v>
      </c>
    </row>
    <row r="28" spans="1:21" ht="18.75">
      <c r="A28" s="2" t="s">
        <v>146</v>
      </c>
    </row>
    <row r="29" spans="1:21" ht="18.75">
      <c r="A29" s="2" t="s">
        <v>147</v>
      </c>
    </row>
    <row r="30" spans="1:21" ht="18.75">
      <c r="A30" s="2" t="s">
        <v>148</v>
      </c>
    </row>
    <row r="31" spans="1:21" ht="18.75">
      <c r="A31" s="2" t="s">
        <v>149</v>
      </c>
    </row>
    <row r="32" spans="1:21" ht="18.75">
      <c r="A32" s="2" t="s">
        <v>150</v>
      </c>
    </row>
    <row r="33" spans="1:2" ht="18.75">
      <c r="A33" s="2" t="s">
        <v>151</v>
      </c>
    </row>
    <row r="34" spans="1:2" ht="18.75">
      <c r="A34" s="2" t="s">
        <v>152</v>
      </c>
    </row>
    <row r="35" spans="1:2" ht="18.75">
      <c r="A35" s="2"/>
    </row>
    <row r="36" spans="1:2" ht="18.75">
      <c r="A36" s="28" t="s">
        <v>153</v>
      </c>
    </row>
    <row r="37" spans="1:2" ht="18.75">
      <c r="A37" s="29" t="s">
        <v>154</v>
      </c>
      <c r="B37" s="29" t="s">
        <v>105</v>
      </c>
    </row>
    <row r="38" spans="1:2">
      <c r="A38" s="32" t="s">
        <v>130</v>
      </c>
      <c r="B38" s="32">
        <v>100000</v>
      </c>
    </row>
    <row r="39" spans="1:2">
      <c r="A39" s="32" t="s">
        <v>131</v>
      </c>
      <c r="B39" s="32">
        <v>125000</v>
      </c>
    </row>
    <row r="40" spans="1:2">
      <c r="A40" s="32" t="s">
        <v>132</v>
      </c>
      <c r="B40" s="32">
        <v>150000</v>
      </c>
    </row>
    <row r="41" spans="1:2">
      <c r="A41" s="32" t="s">
        <v>133</v>
      </c>
      <c r="B41" s="32">
        <v>200000</v>
      </c>
    </row>
    <row r="42" spans="1:2">
      <c r="A42" s="32" t="s">
        <v>134</v>
      </c>
      <c r="B42" s="32">
        <v>225000</v>
      </c>
    </row>
    <row r="43" spans="1:2">
      <c r="A43" s="32" t="s">
        <v>135</v>
      </c>
      <c r="B43" s="32">
        <v>257500</v>
      </c>
    </row>
    <row r="44" spans="1:2">
      <c r="A44" s="32" t="s">
        <v>136</v>
      </c>
      <c r="B44" s="32">
        <v>290000</v>
      </c>
    </row>
    <row r="45" spans="1:2">
      <c r="A45" s="32" t="s">
        <v>137</v>
      </c>
      <c r="B45" s="32">
        <v>322500</v>
      </c>
    </row>
    <row r="46" spans="1:2">
      <c r="A46" s="32" t="s">
        <v>138</v>
      </c>
      <c r="B46" s="32">
        <v>355000</v>
      </c>
    </row>
    <row r="47" spans="1:2">
      <c r="A47" s="32" t="s">
        <v>155</v>
      </c>
      <c r="B47" s="32">
        <v>387500</v>
      </c>
    </row>
    <row r="48" spans="1:2">
      <c r="A48" s="32" t="s">
        <v>156</v>
      </c>
      <c r="B48" s="32">
        <v>420000</v>
      </c>
    </row>
    <row r="49" spans="1:2">
      <c r="A49" s="32" t="s">
        <v>157</v>
      </c>
      <c r="B49" s="32">
        <v>452500</v>
      </c>
    </row>
    <row r="50" spans="1:2">
      <c r="A50" s="21"/>
      <c r="B50" s="21"/>
    </row>
    <row r="52" spans="1:2" ht="24">
      <c r="A52" s="6" t="s">
        <v>158</v>
      </c>
    </row>
    <row r="53" spans="1:2" ht="18.75">
      <c r="A53" s="30" t="s">
        <v>159</v>
      </c>
    </row>
    <row r="54" spans="1:2" ht="18.75">
      <c r="A54" s="2" t="s">
        <v>160</v>
      </c>
    </row>
    <row r="55" spans="1:2" ht="18.75">
      <c r="A55" s="30" t="s">
        <v>161</v>
      </c>
    </row>
    <row r="56" spans="1:2" ht="18.75">
      <c r="A56" s="2" t="s">
        <v>162</v>
      </c>
    </row>
    <row r="57" spans="1:2" ht="18.75">
      <c r="A57" s="30" t="s">
        <v>163</v>
      </c>
    </row>
    <row r="58" spans="1:2" ht="18.75">
      <c r="A58" s="2" t="s">
        <v>164</v>
      </c>
    </row>
    <row r="59" spans="1:2" ht="18">
      <c r="A59" s="31" t="s">
        <v>165</v>
      </c>
    </row>
    <row r="60" spans="1:2" ht="18.75">
      <c r="A60" s="30" t="s">
        <v>166</v>
      </c>
    </row>
    <row r="61" spans="1:2" ht="18.75">
      <c r="A61" s="2" t="s">
        <v>164</v>
      </c>
    </row>
    <row r="62" spans="1:2" ht="18">
      <c r="A62" s="31" t="s">
        <v>167</v>
      </c>
    </row>
    <row r="63" spans="1:2" ht="18.75">
      <c r="A63" s="2" t="s">
        <v>168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C47FC-DE9C-45C4-8955-4F08AAA5EC72}">
  <dimension ref="A1:J17"/>
  <sheetViews>
    <sheetView workbookViewId="0">
      <selection activeCell="J19" sqref="J19"/>
    </sheetView>
  </sheetViews>
  <sheetFormatPr defaultRowHeight="15"/>
  <cols>
    <col min="1" max="1" width="13.42578125" bestFit="1" customWidth="1"/>
    <col min="2" max="2" width="12.5703125" bestFit="1" customWidth="1"/>
  </cols>
  <sheetData>
    <row r="1" spans="1:10">
      <c r="C1" s="10"/>
      <c r="D1" s="10"/>
      <c r="E1" s="10"/>
      <c r="F1" s="10"/>
      <c r="G1" s="10"/>
      <c r="H1" s="10"/>
      <c r="I1" s="10"/>
      <c r="J1" s="10"/>
    </row>
    <row r="2" spans="1:10">
      <c r="C2" s="10"/>
      <c r="D2" s="10"/>
      <c r="E2" s="10"/>
      <c r="F2" s="10"/>
      <c r="G2" s="10"/>
      <c r="H2" s="10"/>
      <c r="I2" s="10"/>
      <c r="J2" s="10"/>
    </row>
    <row r="3" spans="1:10">
      <c r="A3" s="13" t="s">
        <v>90</v>
      </c>
      <c r="B3" t="s">
        <v>169</v>
      </c>
      <c r="C3" s="10"/>
      <c r="D3" s="10"/>
      <c r="E3" s="10"/>
      <c r="F3" s="10"/>
      <c r="G3" s="10"/>
      <c r="H3" s="10"/>
      <c r="I3" s="10"/>
      <c r="J3" s="10"/>
    </row>
    <row r="4" spans="1:10">
      <c r="A4" s="14" t="s">
        <v>130</v>
      </c>
      <c r="B4" s="15">
        <v>100000</v>
      </c>
      <c r="C4" s="10"/>
      <c r="D4" s="10"/>
      <c r="E4" s="10"/>
      <c r="F4" s="10"/>
      <c r="G4" s="10"/>
      <c r="H4" s="10"/>
      <c r="I4" s="10"/>
      <c r="J4" s="10"/>
    </row>
    <row r="5" spans="1:10">
      <c r="A5" s="14" t="s">
        <v>131</v>
      </c>
      <c r="B5" s="15">
        <v>125000</v>
      </c>
      <c r="C5" s="10"/>
      <c r="D5" s="10"/>
      <c r="E5" s="10"/>
      <c r="F5" s="10"/>
      <c r="G5" s="10"/>
      <c r="H5" s="10"/>
      <c r="I5" s="10"/>
      <c r="J5" s="10"/>
    </row>
    <row r="6" spans="1:10">
      <c r="A6" s="14" t="s">
        <v>132</v>
      </c>
      <c r="B6" s="15">
        <v>150000</v>
      </c>
      <c r="C6" s="10"/>
      <c r="D6" s="10"/>
      <c r="E6" s="10"/>
      <c r="F6" s="10"/>
      <c r="G6" s="10"/>
      <c r="H6" s="10"/>
      <c r="I6" s="10"/>
      <c r="J6" s="10"/>
    </row>
    <row r="7" spans="1:10">
      <c r="A7" s="14" t="s">
        <v>133</v>
      </c>
      <c r="B7" s="15">
        <v>200000</v>
      </c>
      <c r="C7" s="10"/>
      <c r="D7" s="10"/>
      <c r="E7" s="10"/>
      <c r="F7" s="10"/>
      <c r="G7" s="10"/>
      <c r="H7" s="10"/>
      <c r="I7" s="10"/>
      <c r="J7" s="10"/>
    </row>
    <row r="8" spans="1:10">
      <c r="A8" s="14" t="s">
        <v>134</v>
      </c>
      <c r="B8" s="15">
        <v>225000</v>
      </c>
      <c r="C8" s="10"/>
      <c r="D8" s="10"/>
      <c r="E8" s="10"/>
      <c r="F8" s="10"/>
      <c r="G8" s="10"/>
      <c r="H8" s="10"/>
      <c r="I8" s="10"/>
      <c r="J8" s="10"/>
    </row>
    <row r="9" spans="1:10">
      <c r="A9" s="14" t="s">
        <v>135</v>
      </c>
      <c r="B9" s="15">
        <v>257500</v>
      </c>
      <c r="C9" s="10"/>
      <c r="D9" s="10"/>
      <c r="E9" s="10"/>
      <c r="F9" s="10"/>
      <c r="G9" s="10"/>
      <c r="H9" s="10"/>
      <c r="I9" s="10"/>
      <c r="J9" s="10"/>
    </row>
    <row r="10" spans="1:10">
      <c r="A10" s="14" t="s">
        <v>136</v>
      </c>
      <c r="B10" s="15">
        <v>290000</v>
      </c>
      <c r="C10" s="10"/>
      <c r="D10" s="10"/>
      <c r="E10" s="10"/>
      <c r="F10" s="10"/>
      <c r="G10" s="10"/>
      <c r="H10" s="10"/>
      <c r="I10" s="10"/>
      <c r="J10" s="10"/>
    </row>
    <row r="11" spans="1:10">
      <c r="A11" s="14" t="s">
        <v>137</v>
      </c>
      <c r="B11" s="15">
        <v>322500</v>
      </c>
      <c r="C11" s="10"/>
      <c r="D11" s="10"/>
      <c r="E11" s="10"/>
      <c r="F11" s="10"/>
      <c r="G11" s="10"/>
      <c r="H11" s="10"/>
      <c r="I11" s="10"/>
      <c r="J11" s="10"/>
    </row>
    <row r="12" spans="1:10">
      <c r="A12" s="14" t="s">
        <v>138</v>
      </c>
      <c r="B12" s="15">
        <v>355000</v>
      </c>
      <c r="C12" s="10"/>
      <c r="D12" s="10"/>
      <c r="E12" s="10"/>
      <c r="F12" s="10"/>
      <c r="G12" s="10"/>
      <c r="H12" s="10"/>
      <c r="I12" s="10"/>
      <c r="J12" s="10"/>
    </row>
    <row r="13" spans="1:10">
      <c r="A13" s="14" t="s">
        <v>155</v>
      </c>
      <c r="B13" s="15">
        <v>387500</v>
      </c>
      <c r="C13" s="10"/>
      <c r="D13" s="10"/>
      <c r="E13" s="10"/>
      <c r="F13" s="10"/>
      <c r="G13" s="10"/>
      <c r="H13" s="10"/>
      <c r="I13" s="10"/>
      <c r="J13" s="10"/>
    </row>
    <row r="14" spans="1:10">
      <c r="A14" s="14" t="s">
        <v>156</v>
      </c>
      <c r="B14" s="15">
        <v>420000</v>
      </c>
      <c r="C14" s="10"/>
      <c r="D14" s="10"/>
      <c r="E14" s="10"/>
      <c r="F14" s="10"/>
      <c r="G14" s="10"/>
      <c r="H14" s="10"/>
      <c r="I14" s="10"/>
      <c r="J14" s="10"/>
    </row>
    <row r="15" spans="1:10">
      <c r="A15" s="14" t="s">
        <v>157</v>
      </c>
      <c r="B15" s="15">
        <v>452500</v>
      </c>
      <c r="C15" s="10"/>
      <c r="D15" s="10"/>
      <c r="E15" s="10"/>
      <c r="F15" s="10"/>
      <c r="G15" s="10"/>
      <c r="H15" s="10"/>
      <c r="I15" s="10"/>
      <c r="J15" s="10"/>
    </row>
    <row r="16" spans="1:10">
      <c r="A16" s="14" t="s">
        <v>91</v>
      </c>
      <c r="B16" s="15">
        <v>3285000</v>
      </c>
      <c r="C16" s="10"/>
      <c r="D16" s="10"/>
      <c r="E16" s="10"/>
      <c r="F16" s="10"/>
      <c r="G16" s="10"/>
      <c r="H16" s="10"/>
      <c r="I16" s="10"/>
      <c r="J16" s="10"/>
    </row>
    <row r="17" spans="3:10">
      <c r="C17" s="10"/>
      <c r="D17" s="10"/>
      <c r="E17" s="10"/>
      <c r="F17" s="10"/>
      <c r="G17" s="10"/>
      <c r="H17" s="10"/>
      <c r="I17" s="10"/>
      <c r="J17"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2DF43-E65A-456F-BA91-F18A381C7C25}">
  <sheetPr>
    <tabColor rgb="FFFFFF00"/>
  </sheetPr>
  <dimension ref="A1:A38"/>
  <sheetViews>
    <sheetView workbookViewId="0">
      <selection activeCell="E11" sqref="E11"/>
    </sheetView>
  </sheetViews>
  <sheetFormatPr defaultRowHeight="15"/>
  <sheetData>
    <row r="1" spans="1:1" ht="18.75">
      <c r="A1" s="16" t="s">
        <v>170</v>
      </c>
    </row>
    <row r="3" spans="1:1" ht="18.75">
      <c r="A3" s="2" t="s">
        <v>171</v>
      </c>
    </row>
    <row r="5" spans="1:1" ht="24">
      <c r="A5" s="6" t="s">
        <v>172</v>
      </c>
    </row>
    <row r="6" spans="1:1" ht="18.75">
      <c r="A6" s="2" t="s">
        <v>173</v>
      </c>
    </row>
    <row r="7" spans="1:1" ht="18.75">
      <c r="A7" s="2" t="s">
        <v>174</v>
      </c>
    </row>
    <row r="8" spans="1:1" ht="18.75">
      <c r="A8" s="2" t="s">
        <v>175</v>
      </c>
    </row>
    <row r="9" spans="1:1" ht="18.75">
      <c r="A9" s="2" t="s">
        <v>176</v>
      </c>
    </row>
    <row r="10" spans="1:1" ht="18.75">
      <c r="A10" s="2" t="s">
        <v>177</v>
      </c>
    </row>
    <row r="11" spans="1:1" ht="18.75">
      <c r="A11" s="2" t="s">
        <v>178</v>
      </c>
    </row>
    <row r="12" spans="1:1" ht="18.75">
      <c r="A12" s="2" t="s">
        <v>179</v>
      </c>
    </row>
    <row r="13" spans="1:1" ht="18.75">
      <c r="A13" s="2" t="s">
        <v>180</v>
      </c>
    </row>
    <row r="14" spans="1:1" ht="18.75">
      <c r="A14" s="2" t="s">
        <v>181</v>
      </c>
    </row>
    <row r="15" spans="1:1" ht="18.75">
      <c r="A15" s="2" t="s">
        <v>182</v>
      </c>
    </row>
    <row r="17" spans="1:1" ht="24">
      <c r="A17" s="6" t="s">
        <v>183</v>
      </c>
    </row>
    <row r="18" spans="1:1" ht="18.75">
      <c r="A18" s="30" t="s">
        <v>159</v>
      </c>
    </row>
    <row r="19" spans="1:1" ht="18">
      <c r="A19" s="31" t="s">
        <v>184</v>
      </c>
    </row>
    <row r="20" spans="1:1" ht="18.75">
      <c r="A20" s="30" t="s">
        <v>161</v>
      </c>
    </row>
    <row r="21" spans="1:1" ht="18">
      <c r="A21" s="31" t="s">
        <v>185</v>
      </c>
    </row>
    <row r="22" spans="1:1" ht="18.75">
      <c r="A22" s="30" t="s">
        <v>163</v>
      </c>
    </row>
    <row r="23" spans="1:1" ht="18.75">
      <c r="A23" s="2" t="s">
        <v>186</v>
      </c>
    </row>
    <row r="24" spans="1:1" ht="18.75">
      <c r="A24" s="33" t="s">
        <v>187</v>
      </c>
    </row>
    <row r="25" spans="1:1" ht="18.75">
      <c r="A25" s="33" t="s">
        <v>188</v>
      </c>
    </row>
    <row r="26" spans="1:1" ht="18.75">
      <c r="A26" s="30" t="s">
        <v>166</v>
      </c>
    </row>
    <row r="27" spans="1:1" ht="18.75">
      <c r="A27" s="2" t="s">
        <v>189</v>
      </c>
    </row>
    <row r="28" spans="1:1" ht="18">
      <c r="A28" s="31" t="s">
        <v>190</v>
      </c>
    </row>
    <row r="30" spans="1:1" ht="24">
      <c r="A30" s="6" t="s">
        <v>191</v>
      </c>
    </row>
    <row r="31" spans="1:1" ht="18.75">
      <c r="A31" s="2" t="s">
        <v>44</v>
      </c>
    </row>
    <row r="32" spans="1:1" ht="18">
      <c r="A32" s="31" t="s">
        <v>192</v>
      </c>
    </row>
    <row r="33" spans="1:1" ht="18.75">
      <c r="A33" s="2" t="s">
        <v>193</v>
      </c>
    </row>
    <row r="34" spans="1:1" ht="18.75">
      <c r="A34" s="34"/>
    </row>
    <row r="35" spans="1:1" ht="18">
      <c r="A35" s="31" t="s">
        <v>194</v>
      </c>
    </row>
    <row r="36" spans="1:1" ht="18">
      <c r="A36" s="31" t="s">
        <v>196</v>
      </c>
    </row>
    <row r="37" spans="1:1" ht="18.75">
      <c r="A37" s="2"/>
    </row>
    <row r="38" spans="1:1" ht="18.75">
      <c r="A38" s="2" t="s">
        <v>195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8CC9-86E8-4FD9-8CE6-B319E54BA74C}">
  <sheetPr>
    <tabColor theme="3" tint="0.499984740745262"/>
  </sheetPr>
  <dimension ref="A1:A41"/>
  <sheetViews>
    <sheetView tabSelected="1" workbookViewId="0">
      <selection activeCell="H8" sqref="H8"/>
    </sheetView>
  </sheetViews>
  <sheetFormatPr defaultRowHeight="15"/>
  <sheetData>
    <row r="1" spans="1:1" ht="18.75">
      <c r="A1" s="16" t="s">
        <v>197</v>
      </c>
    </row>
    <row r="3" spans="1:1" ht="24">
      <c r="A3" s="6" t="s">
        <v>198</v>
      </c>
    </row>
    <row r="4" spans="1:1" ht="18">
      <c r="A4" s="8" t="s">
        <v>199</v>
      </c>
    </row>
    <row r="5" spans="1:1">
      <c r="A5" t="s">
        <v>200</v>
      </c>
    </row>
    <row r="7" spans="1:1" ht="18">
      <c r="A7" s="8" t="s">
        <v>201</v>
      </c>
    </row>
    <row r="8" spans="1:1" ht="18.75">
      <c r="A8" s="33" t="s">
        <v>202</v>
      </c>
    </row>
    <row r="9" spans="1:1" ht="18.75">
      <c r="A9" s="33" t="s">
        <v>203</v>
      </c>
    </row>
    <row r="10" spans="1:1" ht="18.75">
      <c r="A10" s="33" t="s">
        <v>204</v>
      </c>
    </row>
    <row r="11" spans="1:1" ht="18.75">
      <c r="A11" s="33" t="s">
        <v>205</v>
      </c>
    </row>
    <row r="13" spans="1:1" ht="18">
      <c r="A13" s="8" t="s">
        <v>206</v>
      </c>
    </row>
    <row r="14" spans="1:1" ht="18.75">
      <c r="A14" s="33" t="s">
        <v>207</v>
      </c>
    </row>
    <row r="15" spans="1:1" ht="18.75">
      <c r="A15" s="33" t="s">
        <v>208</v>
      </c>
    </row>
    <row r="16" spans="1:1" ht="18.75">
      <c r="A16" s="33" t="s">
        <v>209</v>
      </c>
    </row>
    <row r="18" spans="1:1" ht="24">
      <c r="A18" s="6" t="s">
        <v>210</v>
      </c>
    </row>
    <row r="19" spans="1:1" ht="18">
      <c r="A19" s="8" t="s">
        <v>199</v>
      </c>
    </row>
    <row r="20" spans="1:1" ht="18.75">
      <c r="A20" s="2" t="s">
        <v>211</v>
      </c>
    </row>
    <row r="22" spans="1:1" ht="18">
      <c r="A22" s="8" t="s">
        <v>212</v>
      </c>
    </row>
    <row r="23" spans="1:1" ht="18.75">
      <c r="A23" s="33" t="s">
        <v>213</v>
      </c>
    </row>
    <row r="24" spans="1:1" ht="18.75">
      <c r="A24" s="33" t="s">
        <v>214</v>
      </c>
    </row>
    <row r="25" spans="1:1" ht="18.75">
      <c r="A25" s="33" t="s">
        <v>215</v>
      </c>
    </row>
    <row r="26" spans="1:1" ht="18.75">
      <c r="A26" s="33" t="s">
        <v>216</v>
      </c>
    </row>
    <row r="28" spans="1:1" ht="18">
      <c r="A28" s="8" t="s">
        <v>217</v>
      </c>
    </row>
    <row r="29" spans="1:1" ht="18.75">
      <c r="A29" s="33" t="s">
        <v>218</v>
      </c>
    </row>
    <row r="30" spans="1:1" ht="18.75">
      <c r="A30" s="33" t="s">
        <v>219</v>
      </c>
    </row>
    <row r="31" spans="1:1" ht="18.75">
      <c r="A31" s="33" t="s">
        <v>220</v>
      </c>
    </row>
    <row r="33" spans="1:1" ht="24">
      <c r="A33" s="6" t="s">
        <v>221</v>
      </c>
    </row>
    <row r="34" spans="1:1" ht="18">
      <c r="A34" s="8" t="s">
        <v>199</v>
      </c>
    </row>
    <row r="35" spans="1:1" ht="18.75">
      <c r="A35" s="33" t="s">
        <v>222</v>
      </c>
    </row>
    <row r="37" spans="1:1" ht="18">
      <c r="A37" s="8" t="s">
        <v>111</v>
      </c>
    </row>
    <row r="38" spans="1:1" ht="18.75">
      <c r="A38" s="33" t="s">
        <v>223</v>
      </c>
    </row>
    <row r="39" spans="1:1" ht="18.75">
      <c r="A39" s="33" t="s">
        <v>224</v>
      </c>
    </row>
    <row r="40" spans="1:1" ht="18.75">
      <c r="A40" s="33" t="s">
        <v>225</v>
      </c>
    </row>
    <row r="41" spans="1:1" ht="18.75">
      <c r="A41" s="33" t="s">
        <v>226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9BE5-AA55-4B54-9900-B154809FBF7B}">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6B2003D6-44E2-4364-A255-3FC349E846D1}">
  <ds:schemaRefs/>
</ds:datastoreItem>
</file>

<file path=customXml/itemProps2.xml><?xml version="1.0" encoding="utf-8"?>
<ds:datastoreItem xmlns:ds="http://schemas.openxmlformats.org/officeDocument/2006/customXml" ds:itemID="{9DE399CB-A68C-4DEA-A8A5-8B2A0AA2A0CC}">
  <ds:schemaRefs/>
</ds:datastoreItem>
</file>

<file path=customXml/itemProps3.xml><?xml version="1.0" encoding="utf-8"?>
<ds:datastoreItem xmlns:ds="http://schemas.openxmlformats.org/officeDocument/2006/customXml" ds:itemID="{E406E62D-5610-4878-BFB8-765337A5E876}">
  <ds:schemaRefs/>
</ds:datastoreItem>
</file>

<file path=customXml/itemProps4.xml><?xml version="1.0" encoding="utf-8"?>
<ds:datastoreItem xmlns:ds="http://schemas.openxmlformats.org/officeDocument/2006/customXml" ds:itemID="{97CAACEA-838A-42E2-ABB4-E5D61FC9E5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Power Query for Big data</vt:lpstr>
      <vt:lpstr>Handling Large Datasets Efficie</vt:lpstr>
      <vt:lpstr>Data</vt:lpstr>
      <vt:lpstr>Sheet5</vt:lpstr>
      <vt:lpstr>Techniques for Big Data</vt:lpstr>
      <vt:lpstr>Data Visualization</vt:lpstr>
      <vt:lpstr>Sheet7</vt:lpstr>
      <vt:lpstr>Excel to External Data</vt:lpstr>
      <vt:lpstr>Case Studies</vt: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amitkamat 005</dc:creator>
  <cp:lastModifiedBy>amitkamat 005</cp:lastModifiedBy>
  <dcterms:created xsi:type="dcterms:W3CDTF">2026-07-04T13:17:37Z</dcterms:created>
  <dcterms:modified xsi:type="dcterms:W3CDTF">2026-07-05T08:39:11Z</dcterms:modified>
</cp:coreProperties>
</file>
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TE\10-Advanced Microsoft Excel-supply chain-Rishabh singh\"/>
    </mc:Choice>
  </mc:AlternateContent>
  <xr:revisionPtr revIDLastSave="0" documentId="13_ncr:1_{8C79A8FA-6E79-4D75-BD4A-0BCBB0163DEC}" xr6:coauthVersionLast="47" xr6:coauthVersionMax="47" xr10:uidLastSave="{00000000-0000-0000-0000-000000000000}"/>
  <bookViews>
    <workbookView xWindow="-120" yWindow="-120" windowWidth="20730" windowHeight="11160" firstSheet="2" activeTab="5" xr2:uid="{D8D6D2BA-B93B-4E45-89B5-245174869210}"/>
  </bookViews>
  <sheets>
    <sheet name="Excel Tables" sheetId="1" r:id="rId1"/>
    <sheet name="Autofill and Flash Fill" sheetId="2" r:id="rId2"/>
    <sheet name="Cell Formatting Styles" sheetId="3" r:id="rId3"/>
    <sheet name="Named Ranges in Formulas" sheetId="4" r:id="rId4"/>
    <sheet name="Sheet7" sheetId="7" r:id="rId5"/>
    <sheet name="Advanced Filtering" sheetId="5" r:id="rId6"/>
    <sheet name="Optimizing Workbook Performance" sheetId="6" r:id="rId7"/>
  </sheets>
  <definedNames>
    <definedName name="_xlnm._FilterDatabase" localSheetId="5" hidden="1">'Advanced Filtering'!$E$6:$E$11</definedName>
    <definedName name="_xlnm._FilterDatabase" localSheetId="4" hidden="1">Sheet7!$G$1:$G$51</definedName>
    <definedName name="_xlnm.Criteria" localSheetId="5">'Advanced Filtering'!$F$40:$F$41</definedName>
    <definedName name="_xlnm.Extract" localSheetId="5">'Advanced Filtering'!$J$38</definedName>
    <definedName name="sale">'Named Ranges in Formulas'!$D$7:$D$10</definedName>
    <definedName name="Sales">'Named Ranges in Formulas'!$A$8:$A$11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7" l="1"/>
  <c r="D14" i="4"/>
  <c r="D13" i="4"/>
  <c r="D11" i="4"/>
  <c r="C15" i="3"/>
  <c r="C10" i="3"/>
  <c r="A33" i="4"/>
  <c r="A31" i="4"/>
  <c r="A12" i="4"/>
  <c r="A8" i="6" l="1"/>
  <c r="A11" i="6"/>
</calcChain>
</file>

<file path=xl/sharedStrings.xml><?xml version="1.0" encoding="utf-8"?>
<sst xmlns="http://schemas.openxmlformats.org/spreadsheetml/2006/main" count="251" uniqueCount="206">
  <si>
    <t>Module 8: Advanced Excel Tips for Efficiency</t>
  </si>
  <si>
    <t>8.1 Using Excel Tables</t>
  </si>
  <si>
    <t>What is an Excel Table?</t>
  </si>
  <si>
    <t>An Excel Table converts a normal data range into a structured table with built-in filtering, sorting, and automatic formula expansion.</t>
  </si>
  <si>
    <t>Example Data</t>
  </si>
  <si>
    <t>Employee</t>
  </si>
  <si>
    <t>Department</t>
  </si>
  <si>
    <t>Salary</t>
  </si>
  <si>
    <t>Amit</t>
  </si>
  <si>
    <t>IT</t>
  </si>
  <si>
    <t>Rahul</t>
  </si>
  <si>
    <t>HR</t>
  </si>
  <si>
    <t>Priya</t>
  </si>
  <si>
    <t>Finance</t>
  </si>
  <si>
    <t>Steps to Create a Table</t>
  </si>
  <si>
    <t>1. Select the data range.</t>
  </si>
  <si>
    <t>Benefits</t>
  </si>
  <si>
    <t>Automatic filtering</t>
  </si>
  <si>
    <t>Dynamic ranges</t>
  </si>
  <si>
    <t>Easy formatting</t>
  </si>
  <si>
    <t>Structured references</t>
  </si>
  <si>
    <r>
      <t xml:space="preserve">2. Press </t>
    </r>
    <r>
      <rPr>
        <b/>
        <sz val="14"/>
        <color rgb="FF0000CC"/>
        <rFont val="Aptos Narrow"/>
        <family val="2"/>
        <scheme val="minor"/>
      </rPr>
      <t>Ctrl + T</t>
    </r>
    <r>
      <rPr>
        <sz val="14"/>
        <color rgb="FF0000CC"/>
        <rFont val="Aptos Narrow"/>
        <family val="2"/>
        <scheme val="minor"/>
      </rPr>
      <t>.</t>
    </r>
  </si>
  <si>
    <r>
      <t xml:space="preserve">3. Check </t>
    </r>
    <r>
      <rPr>
        <b/>
        <sz val="14"/>
        <color rgb="FF0000CC"/>
        <rFont val="Aptos Narrow"/>
        <family val="2"/>
        <scheme val="minor"/>
      </rPr>
      <t>My table has headers</t>
    </r>
    <r>
      <rPr>
        <sz val="14"/>
        <color rgb="FF0000CC"/>
        <rFont val="Aptos Narrow"/>
        <family val="2"/>
        <scheme val="minor"/>
      </rPr>
      <t>.</t>
    </r>
  </si>
  <si>
    <r>
      <t xml:space="preserve">4. Click </t>
    </r>
    <r>
      <rPr>
        <b/>
        <sz val="14"/>
        <color rgb="FF0000CC"/>
        <rFont val="Aptos Narrow"/>
        <family val="2"/>
        <scheme val="minor"/>
      </rPr>
      <t>OK</t>
    </r>
    <r>
      <rPr>
        <sz val="14"/>
        <color rgb="FF0000CC"/>
        <rFont val="Aptos Narrow"/>
        <family val="2"/>
        <scheme val="minor"/>
      </rPr>
      <t>.</t>
    </r>
  </si>
  <si>
    <t>8.2 Mastering Autofill and Flash Fill</t>
  </si>
  <si>
    <t>Autofill</t>
  </si>
  <si>
    <t>Used to quickly copy formulas, dates, or patterns.</t>
  </si>
  <si>
    <t>Example</t>
  </si>
  <si>
    <t>Month</t>
  </si>
  <si>
    <t>January</t>
  </si>
  <si>
    <t>February</t>
  </si>
  <si>
    <t>Drag the Fill Handle downward.</t>
  </si>
  <si>
    <t>Result:</t>
  </si>
  <si>
    <t>March</t>
  </si>
  <si>
    <t>April</t>
  </si>
  <si>
    <t>Steps</t>
  </si>
  <si>
    <t>1. Enter first values.</t>
  </si>
  <si>
    <t>2. Select cells.</t>
  </si>
  <si>
    <t>3. Drag the Fill Handle (small square at bottom-right).</t>
  </si>
  <si>
    <t>Flash Fill</t>
  </si>
  <si>
    <t>Automatically fills data based on patterns.</t>
  </si>
  <si>
    <t>Full Name</t>
  </si>
  <si>
    <t>First Name</t>
  </si>
  <si>
    <t>Amit Kumar</t>
  </si>
  <si>
    <t>Rahul Singh</t>
  </si>
  <si>
    <t>1. Type first result manually.</t>
  </si>
  <si>
    <t>2. Start typing second result.</t>
  </si>
  <si>
    <t>Excel automatically extracts the remaining values.</t>
  </si>
  <si>
    <r>
      <t xml:space="preserve">3. Press </t>
    </r>
    <r>
      <rPr>
        <b/>
        <sz val="14"/>
        <color rgb="FF0000CC"/>
        <rFont val="Aptos Narrow"/>
        <family val="2"/>
        <scheme val="minor"/>
      </rPr>
      <t>Ctrl + E</t>
    </r>
    <r>
      <rPr>
        <sz val="14"/>
        <color rgb="FF0000CC"/>
        <rFont val="Aptos Narrow"/>
        <family val="2"/>
        <scheme val="minor"/>
      </rPr>
      <t>.</t>
    </r>
  </si>
  <si>
    <t>8.3 Customizing Cell Formatting Styles</t>
  </si>
  <si>
    <t>What is Cell Formatting?</t>
  </si>
  <si>
    <t>Formatting changes the appearance of data without changing its value.</t>
  </si>
  <si>
    <t>Before:</t>
  </si>
  <si>
    <t>Sales</t>
  </si>
  <si>
    <t>After Currency Format:</t>
  </si>
  <si>
    <t>1. Select cells.</t>
  </si>
  <si>
    <t>2. Home → Cell Styles.</t>
  </si>
  <si>
    <t>3. Choose:</t>
  </si>
  <si>
    <t>Currency</t>
  </si>
  <si>
    <t>Percentage</t>
  </si>
  <si>
    <t>Heading</t>
  </si>
  <si>
    <t>Good/Bad/Neutral</t>
  </si>
  <si>
    <t>Create Custom Style</t>
  </si>
  <si>
    <t>1. Format a cell.</t>
  </si>
  <si>
    <t>3. New Cell Style.</t>
  </si>
  <si>
    <t>4. Give a style name.</t>
  </si>
  <si>
    <t>5. Click OK.</t>
  </si>
  <si>
    <t>Consistent reports</t>
  </si>
  <si>
    <t>Professional appearance</t>
  </si>
  <si>
    <t>Faster formatting</t>
  </si>
  <si>
    <t>8.4 Utilizing Named Ranges in Formulas</t>
  </si>
  <si>
    <t>What is a Named Range?</t>
  </si>
  <si>
    <t>A named range gives a meaningful name to a cell or range.</t>
  </si>
  <si>
    <t>Instead of:</t>
  </si>
  <si>
    <t>Use:</t>
  </si>
  <si>
    <t>Where Sales = B2:B10</t>
  </si>
  <si>
    <t>1. Select cells B2:B10.</t>
  </si>
  <si>
    <t>2. Click Name Box (left of Formula Bar).</t>
  </si>
  <si>
    <t>3. Type:</t>
  </si>
  <si>
    <t>4. Press Enter.</t>
  </si>
  <si>
    <t>Using Named Range</t>
  </si>
  <si>
    <t>Easy formulas</t>
  </si>
  <si>
    <t>Better readability</t>
  </si>
  <si>
    <t>Easier maintenance</t>
  </si>
  <si>
    <t>SUM(A8:A11)</t>
  </si>
  <si>
    <t>SUM(Sales)</t>
  </si>
  <si>
    <t>AVERAGE(Sales)</t>
  </si>
  <si>
    <t>MAX(Sales)</t>
  </si>
  <si>
    <t>8.5 Advanced Filtering Techniques</t>
  </si>
  <si>
    <t>1. Text Filter</t>
  </si>
  <si>
    <t>Find employees whose names start with A.</t>
  </si>
  <si>
    <t>2. Number Filter</t>
  </si>
  <si>
    <t>Find sales greater than ₹50,000.</t>
  </si>
  <si>
    <t>1. Filter Arrow.</t>
  </si>
  <si>
    <t>2. Number Filters.</t>
  </si>
  <si>
    <t>3. Greater Than.</t>
  </si>
  <si>
    <t>4. Enter 50000.</t>
  </si>
  <si>
    <t>3. Date Filter</t>
  </si>
  <si>
    <t>Show records from current month.</t>
  </si>
  <si>
    <t>2. Date Filters.</t>
  </si>
  <si>
    <t>3. This Month.</t>
  </si>
  <si>
    <t>4. Advanced Filter</t>
  </si>
  <si>
    <t>Copy filtered records to another location.</t>
  </si>
  <si>
    <t>1. Data Tab.</t>
  </si>
  <si>
    <t>2. Advanced.</t>
  </si>
  <si>
    <t>3. Select Criteria Range.</t>
  </si>
  <si>
    <t>4. Choose Copy to Another Location.</t>
  </si>
  <si>
    <t>Sumit</t>
  </si>
  <si>
    <t>Ram</t>
  </si>
  <si>
    <t>Aman</t>
  </si>
  <si>
    <t>Pooja</t>
  </si>
  <si>
    <t>1. Go to Data Tab</t>
  </si>
  <si>
    <t>2. Click filter arrow.</t>
  </si>
  <si>
    <t>3. Text Filters.</t>
  </si>
  <si>
    <t>4. Begins With.</t>
  </si>
  <si>
    <t>5. Enter A.</t>
  </si>
  <si>
    <t>8.6 Optimizing Workbook Performance</t>
  </si>
  <si>
    <t>Large Excel files can become slow. Use these techniques to improve speed.</t>
  </si>
  <si>
    <t>Technique 1: Avoid Entire Column References</t>
  </si>
  <si>
    <t>❌</t>
  </si>
  <si>
    <t>✅</t>
  </si>
  <si>
    <t>Technique 2: Use Excel Tables</t>
  </si>
  <si>
    <t>Tables automatically adjust ranges and improve efficiency.</t>
  </si>
  <si>
    <t>Technique 3: Remove Unused Formatting</t>
  </si>
  <si>
    <t>Steps:</t>
  </si>
  <si>
    <t>1. Select unused rows/columns.</t>
  </si>
  <si>
    <t>2. Right-click.</t>
  </si>
  <si>
    <t>3. Delete.</t>
  </si>
  <si>
    <t>Technique 4: Reduce Volatile Functions</t>
  </si>
  <si>
    <t>Avoid excessive use of:</t>
  </si>
  <si>
    <t>NOW()</t>
  </si>
  <si>
    <t>TODAY()</t>
  </si>
  <si>
    <t>RAND()</t>
  </si>
  <si>
    <t>OFFSET()</t>
  </si>
  <si>
    <t>INDIRECT()</t>
  </si>
  <si>
    <t>Technique 5: Save as XLSB</t>
  </si>
  <si>
    <t>1. File → Save As.</t>
  </si>
  <si>
    <t>2. Select:</t>
  </si>
  <si>
    <t>Excel Binary Workbook (*.xlsb)</t>
  </si>
  <si>
    <t>This reduces file size and improves performance.</t>
  </si>
  <si>
    <t>SUM(A:A)</t>
  </si>
  <si>
    <t>SUM(A2:A999)</t>
  </si>
  <si>
    <t>Amit Sharma</t>
  </si>
  <si>
    <t>Rahul Verma</t>
  </si>
  <si>
    <t>Priya Singh</t>
  </si>
  <si>
    <t>Neha Gupta</t>
  </si>
  <si>
    <t>Rajesh Kumar</t>
  </si>
  <si>
    <t>Anjali Mishra</t>
  </si>
  <si>
    <t>Vikram Yadav</t>
  </si>
  <si>
    <t>Pooja Patel</t>
  </si>
  <si>
    <t>Sandeep Jain</t>
  </si>
  <si>
    <t>Kavita Agarwal</t>
  </si>
  <si>
    <t>Neha</t>
  </si>
  <si>
    <t>Rajesh</t>
  </si>
  <si>
    <t>Anjali</t>
  </si>
  <si>
    <t>Vikram</t>
  </si>
  <si>
    <t>Sandeep</t>
  </si>
  <si>
    <t>Kavita</t>
  </si>
  <si>
    <t>Rahul Sharma</t>
  </si>
  <si>
    <t>Priya Gupta</t>
  </si>
  <si>
    <t>Mohit Verma</t>
  </si>
  <si>
    <t>Anjali Singh</t>
  </si>
  <si>
    <t>Kunal Kumar</t>
  </si>
  <si>
    <t>Sneha Sharma</t>
  </si>
  <si>
    <t>Ravi Mishra</t>
  </si>
  <si>
    <t>Pooja Verma</t>
  </si>
  <si>
    <t>Deepak Singh</t>
  </si>
  <si>
    <t>Varun Sharma</t>
  </si>
  <si>
    <t>Sunil Verma</t>
  </si>
  <si>
    <t>Komal Singh</t>
  </si>
  <si>
    <t>Manish Gupta</t>
  </si>
  <si>
    <t>Divya Sharma</t>
  </si>
  <si>
    <t>Pankaj Verma</t>
  </si>
  <si>
    <t>Hema Singh</t>
  </si>
  <si>
    <t>Aakash Gupta</t>
  </si>
  <si>
    <t>Vivek Kumar</t>
  </si>
  <si>
    <t>Sonali Sharma</t>
  </si>
  <si>
    <t>Mukesh Verma</t>
  </si>
  <si>
    <t>Nisha Singh</t>
  </si>
  <si>
    <t>Karan Gupta</t>
  </si>
  <si>
    <t>Sachin Kumar</t>
  </si>
  <si>
    <t>Preeti Sharma</t>
  </si>
  <si>
    <t>Himanshu Verma</t>
  </si>
  <si>
    <t>Ritu Singh</t>
  </si>
  <si>
    <t>Monika Gupta</t>
  </si>
  <si>
    <t>Ajay Kumar</t>
  </si>
  <si>
    <t>Vandana Sharma</t>
  </si>
  <si>
    <t>Dinesh Verma</t>
  </si>
  <si>
    <t>Kavita Singh</t>
  </si>
  <si>
    <t>Naveen Gupta</t>
  </si>
  <si>
    <t>Suresh Kumar</t>
  </si>
  <si>
    <t>Meena Sharma</t>
  </si>
  <si>
    <t>Hemant Verma</t>
  </si>
  <si>
    <t>Rohan Singh</t>
  </si>
  <si>
    <t>Diksha Gupta</t>
  </si>
  <si>
    <t>Ankit Kumar</t>
  </si>
  <si>
    <t>Vinod Sharma</t>
  </si>
  <si>
    <t>Namita Verma</t>
  </si>
  <si>
    <t>Kamal Singh</t>
  </si>
  <si>
    <t>Vikas Gupta</t>
  </si>
  <si>
    <t>Devendra Kumar</t>
  </si>
  <si>
    <t>Sneha Mishra</t>
  </si>
  <si>
    <t>Hitesh Sharma</t>
  </si>
  <si>
    <t>Pradeep Verma</t>
  </si>
  <si>
    <t>Nitin Singh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</si>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</sst>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 val="double"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1"/>
      <color rgb="FF0000CC"/>
      <name val="Aptos Narrow"/>
      <family val="2"/>
      <scheme val="minor"/>
    </font>
    <font>
      <sz val="14"/>
      <color rgb="FF0000CC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0000CC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CC"/>
      <name val="Aptos Narrow"/>
      <family val="2"/>
      <scheme val="minor"/>
    </font>
    <font>
      <b/>
      <sz val="10"/>
      <color theme="1"/>
      <name val="Arial Unicode MS"/>
    </font>
    <font>
      <b/>
      <sz val="11"/>
      <color theme="8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0"/>
      <color theme="8"/>
      <name val="Arial Unicode MS"/>
    </font>
    <font>
      <sz val="14"/>
      <color rgb="FF0000CC"/>
      <name val="Arial Unicode MS"/>
    </font>
    <font>
      <b/>
      <sz val="14"/>
      <color rgb="FF0000CC"/>
      <name val="Arial Unicode MS"/>
    </font>
    <font>
      <sz val="16"/>
      <color rgb="FFFF0000"/>
      <name val="Aptos Narrow"/>
      <family val="2"/>
      <scheme val="minor"/>
    </font>
    <font>
      <b/>
      <sz val="14"/>
      <color theme="8"/>
      <name val="Aptos Narrow"/>
      <family val="2"/>
      <scheme val="minor"/>
    </font>
    <font>
      <sz val="14"/>
      <color theme="8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0" applyFont="1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 indent="1"/>
    </xf>
    <xf numFmtId="0" fontId="10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12" fillId="0" borderId="0" xfId="0" applyFont="1"/>
    <xf numFmtId="0" fontId="8" fillId="0" borderId="1" xfId="0" applyFont="1" applyBorder="1" applyAlignment="1">
      <alignment horizontal="left" vertical="center" wrapText="1"/>
    </xf>
    <xf numFmtId="0" fontId="14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indent="2"/>
    </xf>
    <xf numFmtId="42" fontId="0" fillId="0" borderId="0" xfId="1" applyFont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6" fillId="0" borderId="0" xfId="0" applyFont="1"/>
    <xf numFmtId="0" fontId="2" fillId="0" borderId="0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8" fillId="0" borderId="1" xfId="0" applyFont="1" applyBorder="1"/>
    <xf numFmtId="14" fontId="8" fillId="0" borderId="1" xfId="0" applyNumberFormat="1" applyFont="1" applyBorder="1"/>
    <xf numFmtId="0" fontId="22" fillId="0" borderId="0" xfId="0" applyFont="1"/>
    <xf numFmtId="0" fontId="21" fillId="5" borderId="0" xfId="0" applyFont="1" applyFill="1"/>
    <xf numFmtId="0" fontId="3" fillId="5" borderId="0" xfId="0" applyFont="1" applyFill="1"/>
    <xf numFmtId="0" fontId="2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2" fontId="10" fillId="0" borderId="1" xfId="1" applyFont="1" applyBorder="1" applyAlignment="1">
      <alignment horizontal="left" vertical="center" wrapText="1"/>
    </xf>
    <xf numFmtId="42" fontId="0" fillId="0" borderId="0" xfId="0" applyNumberFormat="1"/>
    <xf numFmtId="0" fontId="0" fillId="5" borderId="1" xfId="0" applyFill="1" applyBorder="1"/>
  </cellXfs>
  <cellStyles count="2">
    <cellStyle name="Currency [0]" xfId="1" builtinId="7"/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B6624B-968D-476C-B96B-F0282C955866}" name="Table4" displayName="Table4" ref="A10:C13" totalsRowShown="0" headerRowDxfId="0" headerRowBorderDxfId="5" tableBorderDxfId="6" totalsRowBorderDxfId="4">
  <autoFilter ref="A10:C13" xr:uid="{90B6624B-968D-476C-B96B-F0282C955866}"/>
  <tableColumns count="3">
    <tableColumn id="1" xr3:uid="{B7FCF67F-FD8C-4623-BEE8-4BDA8533079E}" name="Employee" dataDxfId="3"/>
    <tableColumn id="2" xr3:uid="{BFBFCFCE-996B-42B0-8E6F-C3F015E03FEE}" name="Department" dataDxfId="2"/>
    <tableColumn id="3" xr3:uid="{D9B30D67-2169-4EB0-B3B1-993545C97BC4}" name="Sala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AA81-F912-4FF4-B06E-E5BD61A9CC4E}">
  <sheetPr>
    <tabColor rgb="FFFFC000"/>
  </sheetPr>
  <dimension ref="A1:C26"/>
  <sheetViews>
    <sheetView zoomScale="120" zoomScaleNormal="120" workbookViewId="0">
      <selection activeCell="E17" sqref="E17"/>
    </sheetView>
  </sheetViews>
  <sheetFormatPr defaultRowHeight="15"/>
  <cols>
    <col min="1" max="1" width="11.42578125" customWidth="1"/>
    <col min="2" max="2" width="13.28515625" customWidth="1"/>
  </cols>
  <sheetData>
    <row r="1" spans="1:3" ht="21">
      <c r="A1" s="1" t="s">
        <v>0</v>
      </c>
    </row>
    <row r="3" spans="1:3" ht="21">
      <c r="A3" s="6" t="s">
        <v>1</v>
      </c>
    </row>
    <row r="4" spans="1:3" ht="21">
      <c r="A4" s="6" t="s">
        <v>2</v>
      </c>
    </row>
    <row r="6" spans="1:3" ht="18.75">
      <c r="A6" s="8" t="s">
        <v>3</v>
      </c>
    </row>
    <row r="8" spans="1:3" ht="18">
      <c r="A8" s="4" t="s">
        <v>4</v>
      </c>
    </row>
    <row r="10" spans="1:3" ht="21" customHeight="1">
      <c r="A10" s="15" t="s">
        <v>5</v>
      </c>
      <c r="B10" s="16" t="s">
        <v>6</v>
      </c>
      <c r="C10" s="17" t="s">
        <v>7</v>
      </c>
    </row>
    <row r="11" spans="1:3">
      <c r="A11" s="10" t="s">
        <v>8</v>
      </c>
      <c r="B11" s="9" t="s">
        <v>9</v>
      </c>
      <c r="C11" s="11">
        <v>50000</v>
      </c>
    </row>
    <row r="12" spans="1:3">
      <c r="A12" s="10" t="s">
        <v>10</v>
      </c>
      <c r="B12" s="9" t="s">
        <v>11</v>
      </c>
      <c r="C12" s="11">
        <v>40000</v>
      </c>
    </row>
    <row r="13" spans="1:3">
      <c r="A13" s="12" t="s">
        <v>12</v>
      </c>
      <c r="B13" s="13" t="s">
        <v>13</v>
      </c>
      <c r="C13" s="14">
        <v>55000</v>
      </c>
    </row>
    <row r="15" spans="1:3" ht="18">
      <c r="A15" s="4" t="s">
        <v>14</v>
      </c>
    </row>
    <row r="16" spans="1:3">
      <c r="A16" s="5"/>
    </row>
    <row r="17" spans="1:1" ht="18.75">
      <c r="A17" s="18" t="s">
        <v>15</v>
      </c>
    </row>
    <row r="18" spans="1:1" ht="18.75">
      <c r="A18" s="18" t="s">
        <v>21</v>
      </c>
    </row>
    <row r="19" spans="1:1" ht="18.75">
      <c r="A19" s="18" t="s">
        <v>22</v>
      </c>
    </row>
    <row r="20" spans="1:1" ht="18.75">
      <c r="A20" s="18" t="s">
        <v>23</v>
      </c>
    </row>
    <row r="22" spans="1:1" ht="18">
      <c r="A22" s="4" t="s">
        <v>16</v>
      </c>
    </row>
    <row r="23" spans="1:1" ht="18.75">
      <c r="A23" s="18" t="s">
        <v>17</v>
      </c>
    </row>
    <row r="24" spans="1:1" ht="18.75">
      <c r="A24" s="18" t="s">
        <v>18</v>
      </c>
    </row>
    <row r="25" spans="1:1" ht="18.75">
      <c r="A25" s="18" t="s">
        <v>19</v>
      </c>
    </row>
    <row r="26" spans="1:1" ht="18.75">
      <c r="A26" s="18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EEACD-6B78-4E87-8E03-609A3D02C878}">
  <sheetPr>
    <tabColor rgb="FF00B050"/>
  </sheetPr>
  <dimension ref="A1:G54"/>
  <sheetViews>
    <sheetView topLeftCell="A42" zoomScale="140" zoomScaleNormal="140" workbookViewId="0">
      <selection activeCell="A45" sqref="A45:A54"/>
    </sheetView>
  </sheetViews>
  <sheetFormatPr defaultRowHeight="15"/>
  <cols>
    <col min="1" max="1" width="11.140625" customWidth="1"/>
    <col min="2" max="2" width="13.140625" customWidth="1"/>
    <col min="7" max="7" width="15.140625" customWidth="1"/>
  </cols>
  <sheetData>
    <row r="1" spans="1:7" ht="21">
      <c r="A1" s="6" t="s">
        <v>24</v>
      </c>
      <c r="G1" s="8"/>
    </row>
    <row r="2" spans="1:7" ht="18.75">
      <c r="G2" s="8"/>
    </row>
    <row r="3" spans="1:7" ht="21">
      <c r="A3" s="6" t="s">
        <v>25</v>
      </c>
      <c r="G3" s="8"/>
    </row>
    <row r="4" spans="1:7" s="8" customFormat="1" ht="18.75">
      <c r="A4" s="8" t="s">
        <v>26</v>
      </c>
    </row>
    <row r="6" spans="1:7" ht="18">
      <c r="A6" s="4" t="s">
        <v>27</v>
      </c>
    </row>
    <row r="8" spans="1:7">
      <c r="A8" s="20" t="s">
        <v>28</v>
      </c>
    </row>
    <row r="9" spans="1:7">
      <c r="A9" s="22" t="s">
        <v>29</v>
      </c>
      <c r="B9" s="7"/>
    </row>
    <row r="10" spans="1:7">
      <c r="A10" s="22" t="s">
        <v>30</v>
      </c>
      <c r="B10" s="7"/>
    </row>
    <row r="11" spans="1:7">
      <c r="A11" s="7"/>
      <c r="B11" s="7"/>
    </row>
    <row r="12" spans="1:7" ht="18.75">
      <c r="A12" s="8" t="s">
        <v>31</v>
      </c>
      <c r="B12" s="7"/>
    </row>
    <row r="13" spans="1:7">
      <c r="A13" s="7"/>
      <c r="B13" s="7"/>
    </row>
    <row r="14" spans="1:7" ht="18.75">
      <c r="A14" s="23" t="s">
        <v>32</v>
      </c>
      <c r="B14" s="7"/>
    </row>
    <row r="15" spans="1:7">
      <c r="A15" s="21" t="s">
        <v>28</v>
      </c>
    </row>
    <row r="16" spans="1:7">
      <c r="A16" s="24" t="s">
        <v>29</v>
      </c>
    </row>
    <row r="17" spans="1:1">
      <c r="A17" s="24" t="s">
        <v>30</v>
      </c>
    </row>
    <row r="18" spans="1:1">
      <c r="A18" s="24" t="s">
        <v>33</v>
      </c>
    </row>
    <row r="19" spans="1:1">
      <c r="A19" s="24" t="s">
        <v>34</v>
      </c>
    </row>
    <row r="21" spans="1:1" ht="18">
      <c r="A21" s="4" t="s">
        <v>35</v>
      </c>
    </row>
    <row r="22" spans="1:1" ht="18.75">
      <c r="A22" s="18" t="s">
        <v>36</v>
      </c>
    </row>
    <row r="23" spans="1:1" ht="18.75">
      <c r="A23" s="18" t="s">
        <v>37</v>
      </c>
    </row>
    <row r="24" spans="1:1" ht="18.75">
      <c r="A24" s="18" t="s">
        <v>38</v>
      </c>
    </row>
    <row r="28" spans="1:1" ht="21">
      <c r="A28" s="6" t="s">
        <v>39</v>
      </c>
    </row>
    <row r="30" spans="1:1" ht="21">
      <c r="A30" s="25" t="s">
        <v>40</v>
      </c>
    </row>
    <row r="32" spans="1:1" ht="18">
      <c r="A32" s="4" t="s">
        <v>27</v>
      </c>
    </row>
    <row r="34" spans="1:3" ht="21" customHeight="1">
      <c r="A34" s="26" t="s">
        <v>41</v>
      </c>
      <c r="B34" s="26" t="s">
        <v>42</v>
      </c>
    </row>
    <row r="35" spans="1:3" ht="18" customHeight="1">
      <c r="A35" s="27" t="s">
        <v>43</v>
      </c>
      <c r="B35" s="27" t="s">
        <v>8</v>
      </c>
      <c r="C35" t="s">
        <v>43</v>
      </c>
    </row>
    <row r="36" spans="1:3" ht="18" customHeight="1">
      <c r="A36" s="27" t="s">
        <v>44</v>
      </c>
      <c r="B36" s="27" t="s">
        <v>10</v>
      </c>
      <c r="C36" t="s">
        <v>44</v>
      </c>
    </row>
    <row r="38" spans="1:3" ht="18">
      <c r="A38" s="4" t="s">
        <v>35</v>
      </c>
    </row>
    <row r="39" spans="1:3" ht="18.75">
      <c r="A39" s="18" t="s">
        <v>45</v>
      </c>
    </row>
    <row r="40" spans="1:3" ht="18.75">
      <c r="A40" s="18" t="s">
        <v>46</v>
      </c>
    </row>
    <row r="41" spans="1:3" ht="18.75">
      <c r="A41" s="18" t="s">
        <v>48</v>
      </c>
    </row>
    <row r="43" spans="1:3" ht="21">
      <c r="A43" s="25" t="s">
        <v>47</v>
      </c>
    </row>
    <row r="45" spans="1:3">
      <c r="A45" t="s">
        <v>142</v>
      </c>
      <c r="B45" t="s">
        <v>8</v>
      </c>
    </row>
    <row r="46" spans="1:3">
      <c r="A46" t="s">
        <v>143</v>
      </c>
      <c r="B46" t="s">
        <v>10</v>
      </c>
    </row>
    <row r="47" spans="1:3">
      <c r="A47" t="s">
        <v>144</v>
      </c>
      <c r="B47" t="s">
        <v>12</v>
      </c>
    </row>
    <row r="48" spans="1:3">
      <c r="A48" t="s">
        <v>145</v>
      </c>
      <c r="B48" t="s">
        <v>152</v>
      </c>
    </row>
    <row r="49" spans="1:2">
      <c r="A49" t="s">
        <v>146</v>
      </c>
      <c r="B49" t="s">
        <v>153</v>
      </c>
    </row>
    <row r="50" spans="1:2">
      <c r="A50" t="s">
        <v>147</v>
      </c>
      <c r="B50" t="s">
        <v>154</v>
      </c>
    </row>
    <row r="51" spans="1:2">
      <c r="A51" t="s">
        <v>148</v>
      </c>
      <c r="B51" t="s">
        <v>155</v>
      </c>
    </row>
    <row r="52" spans="1:2">
      <c r="A52" t="s">
        <v>149</v>
      </c>
      <c r="B52" t="s">
        <v>110</v>
      </c>
    </row>
    <row r="53" spans="1:2">
      <c r="A53" t="s">
        <v>150</v>
      </c>
      <c r="B53" t="s">
        <v>156</v>
      </c>
    </row>
    <row r="54" spans="1:2">
      <c r="A54" t="s">
        <v>151</v>
      </c>
      <c r="B54" t="s">
        <v>157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42039-1257-46F8-A224-FA4A913DEB1E}">
  <sheetPr>
    <tabColor rgb="FF7030A0"/>
  </sheetPr>
  <dimension ref="A1:F37"/>
  <sheetViews>
    <sheetView workbookViewId="0">
      <selection activeCell="K18" sqref="K18"/>
    </sheetView>
  </sheetViews>
  <sheetFormatPr defaultRowHeight="15"/>
  <cols>
    <col min="1" max="1" width="12.42578125" customWidth="1"/>
    <col min="7" max="7" width="11" bestFit="1" customWidth="1"/>
  </cols>
  <sheetData>
    <row r="1" spans="1:6" ht="21">
      <c r="A1" s="6" t="s">
        <v>49</v>
      </c>
    </row>
    <row r="3" spans="1:6" ht="21">
      <c r="A3" s="6" t="s">
        <v>50</v>
      </c>
    </row>
    <row r="4" spans="1:6" ht="21">
      <c r="A4" s="25" t="s">
        <v>51</v>
      </c>
    </row>
    <row r="6" spans="1:6" ht="18">
      <c r="A6" s="4" t="s">
        <v>27</v>
      </c>
    </row>
    <row r="7" spans="1:6" ht="18.75">
      <c r="A7" s="19" t="s">
        <v>52</v>
      </c>
    </row>
    <row r="8" spans="1:6" ht="18.75">
      <c r="A8" s="19"/>
    </row>
    <row r="9" spans="1:6" ht="18.75">
      <c r="A9" s="28" t="s">
        <v>53</v>
      </c>
    </row>
    <row r="10" spans="1:6" ht="18.75">
      <c r="A10" s="29">
        <v>15000</v>
      </c>
      <c r="B10">
        <v>15000</v>
      </c>
      <c r="C10">
        <f>A10+B10</f>
        <v>30000</v>
      </c>
    </row>
    <row r="12" spans="1:6" ht="21">
      <c r="A12" s="25" t="s">
        <v>54</v>
      </c>
    </row>
    <row r="14" spans="1:6" ht="18.75">
      <c r="A14" s="28" t="s">
        <v>53</v>
      </c>
    </row>
    <row r="15" spans="1:6" ht="22.5" customHeight="1">
      <c r="A15" s="49">
        <v>15000</v>
      </c>
      <c r="B15">
        <v>15000</v>
      </c>
      <c r="C15" s="50">
        <f>A15+B15</f>
        <v>30000</v>
      </c>
      <c r="F15" s="31"/>
    </row>
    <row r="17" spans="1:1" ht="18">
      <c r="A17" s="4" t="s">
        <v>35</v>
      </c>
    </row>
    <row r="18" spans="1:1" ht="18.75">
      <c r="A18" s="18" t="s">
        <v>55</v>
      </c>
    </row>
    <row r="19" spans="1:1" ht="18.75">
      <c r="A19" s="18" t="s">
        <v>56</v>
      </c>
    </row>
    <row r="20" spans="1:1" ht="18.75">
      <c r="A20" s="18" t="s">
        <v>57</v>
      </c>
    </row>
    <row r="21" spans="1:1" ht="18.75">
      <c r="A21" s="30" t="s">
        <v>58</v>
      </c>
    </row>
    <row r="22" spans="1:1" ht="18.75">
      <c r="A22" s="30" t="s">
        <v>59</v>
      </c>
    </row>
    <row r="23" spans="1:1" ht="18.75">
      <c r="A23" s="30" t="s">
        <v>60</v>
      </c>
    </row>
    <row r="24" spans="1:1" ht="18.75">
      <c r="A24" s="30" t="s">
        <v>61</v>
      </c>
    </row>
    <row r="26" spans="1:1" ht="18">
      <c r="A26" s="4" t="s">
        <v>62</v>
      </c>
    </row>
    <row r="27" spans="1:1">
      <c r="A27" s="5"/>
    </row>
    <row r="28" spans="1:1" ht="18.75">
      <c r="A28" s="18" t="s">
        <v>63</v>
      </c>
    </row>
    <row r="29" spans="1:1" ht="18.75">
      <c r="A29" s="18" t="s">
        <v>56</v>
      </c>
    </row>
    <row r="30" spans="1:1" ht="18.75">
      <c r="A30" s="18" t="s">
        <v>64</v>
      </c>
    </row>
    <row r="31" spans="1:1" ht="18.75">
      <c r="A31" s="18" t="s">
        <v>65</v>
      </c>
    </row>
    <row r="32" spans="1:1" ht="18.75">
      <c r="A32" s="18" t="s">
        <v>66</v>
      </c>
    </row>
    <row r="34" spans="1:1" ht="18">
      <c r="A34" s="4" t="s">
        <v>16</v>
      </c>
    </row>
    <row r="35" spans="1:1" ht="18.75">
      <c r="A35" s="18" t="s">
        <v>67</v>
      </c>
    </row>
    <row r="36" spans="1:1" ht="18.75">
      <c r="A36" s="18" t="s">
        <v>68</v>
      </c>
    </row>
    <row r="37" spans="1:1" ht="18.75">
      <c r="A37" s="18" t="s">
        <v>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872B-6C39-4096-8718-B4834321669D}">
  <sheetPr>
    <tabColor theme="5" tint="-0.249977111117893"/>
  </sheetPr>
  <dimension ref="A1:D38"/>
  <sheetViews>
    <sheetView zoomScale="130" zoomScaleNormal="130" workbookViewId="0">
      <selection activeCell="H9" sqref="H9"/>
    </sheetView>
  </sheetViews>
  <sheetFormatPr defaultRowHeight="15"/>
  <cols>
    <col min="1" max="1" width="10.85546875" customWidth="1"/>
  </cols>
  <sheetData>
    <row r="1" spans="1:4" ht="21">
      <c r="A1" s="6" t="s">
        <v>70</v>
      </c>
    </row>
    <row r="3" spans="1:4" ht="21">
      <c r="A3" s="6" t="s">
        <v>71</v>
      </c>
    </row>
    <row r="4" spans="1:4" ht="18.75">
      <c r="A4" s="8" t="s">
        <v>72</v>
      </c>
    </row>
    <row r="6" spans="1:4" ht="18">
      <c r="A6" s="4" t="s">
        <v>27</v>
      </c>
      <c r="D6" s="51" t="s">
        <v>53</v>
      </c>
    </row>
    <row r="7" spans="1:4">
      <c r="A7" t="s">
        <v>73</v>
      </c>
      <c r="D7" s="33">
        <v>1000</v>
      </c>
    </row>
    <row r="8" spans="1:4">
      <c r="A8" s="33">
        <v>1000</v>
      </c>
      <c r="D8" s="34">
        <v>20</v>
      </c>
    </row>
    <row r="9" spans="1:4">
      <c r="A9" s="34">
        <v>20</v>
      </c>
      <c r="D9" s="35">
        <v>30</v>
      </c>
    </row>
    <row r="10" spans="1:4">
      <c r="A10" s="35">
        <v>30</v>
      </c>
      <c r="D10" s="35">
        <v>40</v>
      </c>
    </row>
    <row r="11" spans="1:4">
      <c r="A11" s="35">
        <v>40</v>
      </c>
      <c r="D11">
        <f>SUM(D7:D10)</f>
        <v>1090</v>
      </c>
    </row>
    <row r="12" spans="1:4">
      <c r="A12" s="38">
        <f>SUM(A8:A11)</f>
        <v>1090</v>
      </c>
      <c r="B12" s="36" t="s">
        <v>84</v>
      </c>
    </row>
    <row r="13" spans="1:4">
      <c r="A13" s="37"/>
      <c r="B13" s="36"/>
      <c r="D13">
        <f>SUM(sale)</f>
        <v>1090</v>
      </c>
    </row>
    <row r="14" spans="1:4">
      <c r="A14" t="s">
        <v>74</v>
      </c>
      <c r="D14">
        <f>AVERAGEA(sale)</f>
        <v>272.5</v>
      </c>
    </row>
    <row r="15" spans="1:4">
      <c r="A15" s="2"/>
    </row>
    <row r="16" spans="1:4">
      <c r="A16" s="39" t="s">
        <v>85</v>
      </c>
      <c r="B16" s="36"/>
    </row>
    <row r="17" spans="1:2">
      <c r="A17" s="36"/>
      <c r="B17" s="36"/>
    </row>
    <row r="18" spans="1:2">
      <c r="A18" s="36" t="s">
        <v>75</v>
      </c>
      <c r="B18" s="36"/>
    </row>
    <row r="20" spans="1:2" ht="18">
      <c r="A20" s="4" t="s">
        <v>35</v>
      </c>
    </row>
    <row r="21" spans="1:2" ht="18.75">
      <c r="A21" s="18" t="s">
        <v>76</v>
      </c>
    </row>
    <row r="22" spans="1:2" ht="18.75">
      <c r="A22" s="18" t="s">
        <v>77</v>
      </c>
    </row>
    <row r="23" spans="1:2" ht="18.75">
      <c r="A23" s="18" t="s">
        <v>78</v>
      </c>
    </row>
    <row r="24" spans="1:2">
      <c r="A24" s="2"/>
    </row>
    <row r="25" spans="1:2" ht="18">
      <c r="A25" s="40" t="s">
        <v>53</v>
      </c>
    </row>
    <row r="26" spans="1:2">
      <c r="A26" s="5"/>
    </row>
    <row r="27" spans="1:2" ht="18.75">
      <c r="A27" s="18" t="s">
        <v>79</v>
      </c>
    </row>
    <row r="29" spans="1:2" ht="18">
      <c r="A29" s="4" t="s">
        <v>80</v>
      </c>
    </row>
    <row r="30" spans="1:2">
      <c r="A30" s="2"/>
    </row>
    <row r="31" spans="1:2">
      <c r="A31" s="38">
        <f>AVERAGE(Sales)</f>
        <v>272.5</v>
      </c>
      <c r="B31" s="36" t="s">
        <v>86</v>
      </c>
    </row>
    <row r="32" spans="1:2">
      <c r="A32" s="2"/>
    </row>
    <row r="33" spans="1:2">
      <c r="A33" s="38">
        <f>MAX(Sales)</f>
        <v>1000</v>
      </c>
      <c r="B33" s="36" t="s">
        <v>87</v>
      </c>
    </row>
    <row r="35" spans="1:2" ht="18">
      <c r="A35" s="4" t="s">
        <v>16</v>
      </c>
    </row>
    <row r="36" spans="1:2" ht="18.75">
      <c r="A36" s="18" t="s">
        <v>81</v>
      </c>
    </row>
    <row r="37" spans="1:2" ht="18.75">
      <c r="A37" s="18" t="s">
        <v>82</v>
      </c>
    </row>
    <row r="38" spans="1:2" ht="18.75">
      <c r="A38" s="18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FC71-E836-4C3D-8394-1A404AE7095F}">
  <dimension ref="A1:G51"/>
  <sheetViews>
    <sheetView topLeftCell="C1" zoomScale="140" zoomScaleNormal="140" workbookViewId="0">
      <selection activeCell="G2" sqref="G2"/>
    </sheetView>
  </sheetViews>
  <sheetFormatPr defaultRowHeight="15"/>
  <cols>
    <col min="4" max="4" width="14.140625" bestFit="1" customWidth="1"/>
    <col min="7" max="7" width="16.42578125" bestFit="1" customWidth="1"/>
  </cols>
  <sheetData>
    <row r="1" spans="1:7">
      <c r="G1" t="s">
        <v>205</v>
      </c>
    </row>
    <row r="2" spans="1:7">
      <c r="A2">
        <f>MAX(sale)</f>
        <v>1000</v>
      </c>
      <c r="D2" s="32" t="s">
        <v>142</v>
      </c>
      <c r="G2" s="32" t="s">
        <v>174</v>
      </c>
    </row>
    <row r="3" spans="1:7">
      <c r="D3" s="32" t="s">
        <v>143</v>
      </c>
      <c r="G3" s="32" t="s">
        <v>185</v>
      </c>
    </row>
    <row r="4" spans="1:7">
      <c r="D4" s="32" t="s">
        <v>144</v>
      </c>
      <c r="G4" s="32" t="s">
        <v>43</v>
      </c>
    </row>
    <row r="5" spans="1:7">
      <c r="D5" s="32" t="s">
        <v>145</v>
      </c>
      <c r="G5" s="32" t="s">
        <v>161</v>
      </c>
    </row>
    <row r="6" spans="1:7">
      <c r="D6" s="32" t="s">
        <v>146</v>
      </c>
      <c r="G6" s="32" t="s">
        <v>195</v>
      </c>
    </row>
    <row r="7" spans="1:7">
      <c r="D7" s="32" t="s">
        <v>147</v>
      </c>
      <c r="G7" s="32" t="s">
        <v>166</v>
      </c>
    </row>
    <row r="8" spans="1:7">
      <c r="D8" s="32" t="s">
        <v>148</v>
      </c>
      <c r="G8" s="32" t="s">
        <v>200</v>
      </c>
    </row>
    <row r="9" spans="1:7">
      <c r="D9" s="32" t="s">
        <v>149</v>
      </c>
      <c r="G9" s="32" t="s">
        <v>194</v>
      </c>
    </row>
    <row r="10" spans="1:7">
      <c r="D10" s="32" t="s">
        <v>150</v>
      </c>
      <c r="G10" s="32" t="s">
        <v>187</v>
      </c>
    </row>
    <row r="11" spans="1:7">
      <c r="D11" s="32" t="s">
        <v>151</v>
      </c>
      <c r="G11" s="32" t="s">
        <v>171</v>
      </c>
    </row>
    <row r="12" spans="1:7">
      <c r="G12" s="32" t="s">
        <v>173</v>
      </c>
    </row>
    <row r="13" spans="1:7">
      <c r="G13" s="32" t="s">
        <v>192</v>
      </c>
    </row>
    <row r="14" spans="1:7">
      <c r="G14" s="32" t="s">
        <v>182</v>
      </c>
    </row>
    <row r="15" spans="1:7">
      <c r="G15" s="32" t="s">
        <v>202</v>
      </c>
    </row>
    <row r="16" spans="1:7">
      <c r="G16" s="32" t="s">
        <v>198</v>
      </c>
    </row>
    <row r="17" spans="7:7">
      <c r="G17" s="32" t="s">
        <v>179</v>
      </c>
    </row>
    <row r="18" spans="7:7">
      <c r="G18" s="32" t="s">
        <v>188</v>
      </c>
    </row>
    <row r="19" spans="7:7">
      <c r="G19" s="32" t="s">
        <v>169</v>
      </c>
    </row>
    <row r="20" spans="7:7">
      <c r="G20" s="32" t="s">
        <v>162</v>
      </c>
    </row>
    <row r="21" spans="7:7">
      <c r="G21" s="32" t="s">
        <v>170</v>
      </c>
    </row>
    <row r="22" spans="7:7">
      <c r="G22" s="32" t="s">
        <v>191</v>
      </c>
    </row>
    <row r="23" spans="7:7">
      <c r="G23" s="32" t="s">
        <v>160</v>
      </c>
    </row>
    <row r="24" spans="7:7">
      <c r="G24" s="32" t="s">
        <v>184</v>
      </c>
    </row>
    <row r="25" spans="7:7">
      <c r="G25" s="32" t="s">
        <v>177</v>
      </c>
    </row>
    <row r="26" spans="7:7">
      <c r="G26" s="32" t="s">
        <v>197</v>
      </c>
    </row>
    <row r="27" spans="7:7">
      <c r="G27" s="32" t="s">
        <v>189</v>
      </c>
    </row>
    <row r="28" spans="7:7">
      <c r="G28" s="32" t="s">
        <v>145</v>
      </c>
    </row>
    <row r="29" spans="7:7">
      <c r="G29" s="32" t="s">
        <v>178</v>
      </c>
    </row>
    <row r="30" spans="7:7">
      <c r="G30" s="32" t="s">
        <v>204</v>
      </c>
    </row>
    <row r="31" spans="7:7">
      <c r="G31" s="32" t="s">
        <v>172</v>
      </c>
    </row>
    <row r="32" spans="7:7">
      <c r="G32" s="32" t="s">
        <v>165</v>
      </c>
    </row>
    <row r="33" spans="7:7">
      <c r="G33" s="32" t="s">
        <v>203</v>
      </c>
    </row>
    <row r="34" spans="7:7">
      <c r="G34" s="32" t="s">
        <v>181</v>
      </c>
    </row>
    <row r="35" spans="7:7">
      <c r="G35" s="32" t="s">
        <v>159</v>
      </c>
    </row>
    <row r="36" spans="7:7">
      <c r="G36" s="32" t="s">
        <v>158</v>
      </c>
    </row>
    <row r="37" spans="7:7">
      <c r="G37" s="32" t="s">
        <v>146</v>
      </c>
    </row>
    <row r="38" spans="7:7">
      <c r="G38" s="32" t="s">
        <v>164</v>
      </c>
    </row>
    <row r="39" spans="7:7">
      <c r="G39" s="32" t="s">
        <v>183</v>
      </c>
    </row>
    <row r="40" spans="7:7">
      <c r="G40" s="32" t="s">
        <v>193</v>
      </c>
    </row>
    <row r="41" spans="7:7">
      <c r="G41" s="32" t="s">
        <v>180</v>
      </c>
    </row>
    <row r="42" spans="7:7">
      <c r="G42" s="32" t="s">
        <v>201</v>
      </c>
    </row>
    <row r="43" spans="7:7">
      <c r="G43" s="32" t="s">
        <v>163</v>
      </c>
    </row>
    <row r="44" spans="7:7">
      <c r="G44" s="32" t="s">
        <v>176</v>
      </c>
    </row>
    <row r="45" spans="7:7">
      <c r="G45" s="32" t="s">
        <v>168</v>
      </c>
    </row>
    <row r="46" spans="7:7">
      <c r="G46" s="32" t="s">
        <v>190</v>
      </c>
    </row>
    <row r="47" spans="7:7">
      <c r="G47" s="32" t="s">
        <v>186</v>
      </c>
    </row>
    <row r="48" spans="7:7">
      <c r="G48" s="32" t="s">
        <v>167</v>
      </c>
    </row>
    <row r="49" spans="7:7">
      <c r="G49" s="32" t="s">
        <v>199</v>
      </c>
    </row>
    <row r="50" spans="7:7">
      <c r="G50" s="32" t="s">
        <v>196</v>
      </c>
    </row>
    <row r="51" spans="7:7">
      <c r="G51" s="32" t="s">
        <v>175</v>
      </c>
    </row>
  </sheetData>
  <autoFilter ref="G1:G51" xr:uid="{D306FC71-E836-4C3D-8394-1A404AE7095F}">
    <sortState xmlns:xlrd2="http://schemas.microsoft.com/office/spreadsheetml/2017/richdata2" ref="G2:G51">
      <sortCondition ref="G1:G5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5E96-AEF2-4972-AB2E-CACD0036E4F2}">
  <sheetPr filterMode="1">
    <tabColor theme="4" tint="0.39997558519241921"/>
  </sheetPr>
  <dimension ref="A1:F44"/>
  <sheetViews>
    <sheetView tabSelected="1" zoomScale="120" zoomScaleNormal="120" workbookViewId="0">
      <selection activeCell="G7" sqref="G7"/>
    </sheetView>
  </sheetViews>
  <sheetFormatPr defaultRowHeight="15"/>
  <cols>
    <col min="5" max="5" width="9.42578125" bestFit="1" customWidth="1"/>
  </cols>
  <sheetData>
    <row r="1" spans="1:5" ht="21">
      <c r="A1" s="6" t="s">
        <v>88</v>
      </c>
    </row>
    <row r="3" spans="1:5" ht="21">
      <c r="A3" s="6" t="s">
        <v>89</v>
      </c>
    </row>
    <row r="4" spans="1:5" s="8" customFormat="1" ht="18.75">
      <c r="A4" s="8" t="s">
        <v>90</v>
      </c>
    </row>
    <row r="6" spans="1:5" ht="18">
      <c r="A6" s="4" t="s">
        <v>35</v>
      </c>
      <c r="E6" s="42" t="s">
        <v>8</v>
      </c>
    </row>
    <row r="7" spans="1:5" ht="18.75">
      <c r="A7" s="18" t="s">
        <v>111</v>
      </c>
      <c r="E7" s="42" t="s">
        <v>107</v>
      </c>
    </row>
    <row r="8" spans="1:5" ht="18.75" hidden="1">
      <c r="A8" s="18" t="s">
        <v>112</v>
      </c>
      <c r="E8" s="42" t="s">
        <v>108</v>
      </c>
    </row>
    <row r="9" spans="1:5" ht="18.75" hidden="1">
      <c r="A9" s="18" t="s">
        <v>113</v>
      </c>
      <c r="E9" s="42" t="s">
        <v>109</v>
      </c>
    </row>
    <row r="10" spans="1:5" ht="18.75" hidden="1">
      <c r="A10" s="18" t="s">
        <v>114</v>
      </c>
      <c r="E10" s="42" t="s">
        <v>110</v>
      </c>
    </row>
    <row r="11" spans="1:5" ht="18.75" hidden="1">
      <c r="A11" s="18" t="s">
        <v>115</v>
      </c>
      <c r="E11" s="42" t="s">
        <v>12</v>
      </c>
    </row>
    <row r="14" spans="1:5" ht="24">
      <c r="A14" s="3" t="s">
        <v>91</v>
      </c>
    </row>
    <row r="15" spans="1:5" ht="18.75">
      <c r="A15" s="18" t="s">
        <v>92</v>
      </c>
    </row>
    <row r="17" spans="1:5" ht="18">
      <c r="A17" s="4" t="s">
        <v>35</v>
      </c>
      <c r="E17" s="42">
        <v>40000</v>
      </c>
    </row>
    <row r="18" spans="1:5" ht="18.75">
      <c r="A18" s="18" t="s">
        <v>93</v>
      </c>
      <c r="E18" s="42">
        <v>50000</v>
      </c>
    </row>
    <row r="19" spans="1:5" ht="18.75">
      <c r="A19" s="18" t="s">
        <v>94</v>
      </c>
      <c r="E19" s="42">
        <v>60000</v>
      </c>
    </row>
    <row r="20" spans="1:5" ht="18.75">
      <c r="A20" s="18" t="s">
        <v>95</v>
      </c>
      <c r="E20" s="42">
        <v>70000</v>
      </c>
    </row>
    <row r="21" spans="1:5" ht="18.75">
      <c r="A21" s="18" t="s">
        <v>96</v>
      </c>
      <c r="E21" s="42">
        <v>80000</v>
      </c>
    </row>
    <row r="22" spans="1:5" ht="18.75">
      <c r="A22" s="18"/>
    </row>
    <row r="25" spans="1:5" ht="24">
      <c r="A25" s="3" t="s">
        <v>97</v>
      </c>
    </row>
    <row r="26" spans="1:5" s="8" customFormat="1" ht="18.75">
      <c r="A26" s="8" t="s">
        <v>98</v>
      </c>
    </row>
    <row r="28" spans="1:5" ht="18">
      <c r="A28" s="4" t="s">
        <v>35</v>
      </c>
      <c r="E28" s="43">
        <v>46298</v>
      </c>
    </row>
    <row r="29" spans="1:5" ht="18.75">
      <c r="A29" s="8" t="s">
        <v>93</v>
      </c>
      <c r="E29" s="43">
        <v>46147</v>
      </c>
    </row>
    <row r="30" spans="1:5" ht="18.75">
      <c r="A30" s="8" t="s">
        <v>99</v>
      </c>
      <c r="E30" s="43">
        <v>46179</v>
      </c>
    </row>
    <row r="31" spans="1:5" ht="18.75">
      <c r="A31" s="8" t="s">
        <v>100</v>
      </c>
      <c r="E31" s="43">
        <v>46029</v>
      </c>
    </row>
    <row r="35" spans="1:6" ht="24">
      <c r="A35" s="3" t="s">
        <v>101</v>
      </c>
    </row>
    <row r="36" spans="1:6" ht="18.75">
      <c r="A36" s="8" t="s">
        <v>102</v>
      </c>
    </row>
    <row r="38" spans="1:6" ht="18">
      <c r="A38" s="4" t="s">
        <v>35</v>
      </c>
    </row>
    <row r="39" spans="1:6">
      <c r="A39" s="5"/>
      <c r="F39" s="42">
        <v>40000</v>
      </c>
    </row>
    <row r="40" spans="1:6" ht="18.75">
      <c r="A40" s="8" t="s">
        <v>103</v>
      </c>
      <c r="F40" s="42">
        <v>50000</v>
      </c>
    </row>
    <row r="41" spans="1:6" ht="18.75">
      <c r="A41" s="8" t="s">
        <v>104</v>
      </c>
      <c r="F41" s="42">
        <v>60000</v>
      </c>
    </row>
    <row r="42" spans="1:6" ht="18.75">
      <c r="A42" s="8" t="s">
        <v>105</v>
      </c>
      <c r="F42" s="42">
        <v>70000</v>
      </c>
    </row>
    <row r="43" spans="1:6" ht="18.75">
      <c r="A43" s="8" t="s">
        <v>106</v>
      </c>
      <c r="F43" s="42">
        <v>80000</v>
      </c>
    </row>
    <row r="44" spans="1:6" ht="18.75">
      <c r="A44" s="8" t="s">
        <v>66</v>
      </c>
    </row>
  </sheetData>
  <autoFilter ref="E6:E11" xr:uid="{E6C35E96-AEF2-4972-AB2E-CACD0036E4F2}">
    <filterColumn colId="0">
      <customFilters>
        <customFilter val="*t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F4E58-495A-4D38-B335-69F0C5639DCD}">
  <sheetPr>
    <tabColor rgb="FF92D050"/>
  </sheetPr>
  <dimension ref="A1:B43"/>
  <sheetViews>
    <sheetView workbookViewId="0">
      <selection activeCell="L12" sqref="L12"/>
    </sheetView>
  </sheetViews>
  <sheetFormatPr defaultRowHeight="15"/>
  <sheetData>
    <row r="1" spans="1:2" ht="21">
      <c r="A1" s="6" t="s">
        <v>116</v>
      </c>
    </row>
    <row r="3" spans="1:2" ht="18.75">
      <c r="A3" s="8" t="s">
        <v>117</v>
      </c>
    </row>
    <row r="5" spans="1:2" ht="21">
      <c r="A5" s="6" t="s">
        <v>118</v>
      </c>
    </row>
    <row r="7" spans="1:2" ht="21">
      <c r="A7" s="45" t="s">
        <v>119</v>
      </c>
    </row>
    <row r="8" spans="1:2" ht="18.75">
      <c r="A8" s="41">
        <f ca="1">SUM(A:A)</f>
        <v>0</v>
      </c>
      <c r="B8" s="44" t="s">
        <v>140</v>
      </c>
    </row>
    <row r="10" spans="1:2" ht="21">
      <c r="A10" s="46" t="s">
        <v>120</v>
      </c>
    </row>
    <row r="11" spans="1:2" ht="18.75">
      <c r="A11" s="41">
        <f ca="1">SUM(A2:A989)</f>
        <v>0</v>
      </c>
      <c r="B11" s="44" t="s">
        <v>141</v>
      </c>
    </row>
    <row r="15" spans="1:2" ht="21">
      <c r="A15" s="6" t="s">
        <v>121</v>
      </c>
    </row>
    <row r="16" spans="1:2" s="8" customFormat="1" ht="18.75">
      <c r="A16" s="8" t="s">
        <v>122</v>
      </c>
    </row>
    <row r="18" spans="1:1" ht="24">
      <c r="A18" s="3" t="s">
        <v>123</v>
      </c>
    </row>
    <row r="20" spans="1:1" ht="18.75">
      <c r="A20" s="8" t="s">
        <v>124</v>
      </c>
    </row>
    <row r="21" spans="1:1" ht="18.75">
      <c r="A21" s="8" t="s">
        <v>125</v>
      </c>
    </row>
    <row r="22" spans="1:1" ht="18.75">
      <c r="A22" s="8" t="s">
        <v>126</v>
      </c>
    </row>
    <row r="23" spans="1:1" ht="18.75">
      <c r="A23" s="8" t="s">
        <v>127</v>
      </c>
    </row>
    <row r="25" spans="1:1" ht="24">
      <c r="A25" s="3" t="s">
        <v>128</v>
      </c>
    </row>
    <row r="27" spans="1:1" ht="18.75">
      <c r="A27" s="8" t="s">
        <v>129</v>
      </c>
    </row>
    <row r="28" spans="1:1" ht="18">
      <c r="A28" s="47" t="s">
        <v>130</v>
      </c>
    </row>
    <row r="29" spans="1:1" ht="18">
      <c r="A29" s="47" t="s">
        <v>131</v>
      </c>
    </row>
    <row r="30" spans="1:1" ht="18">
      <c r="A30" s="47" t="s">
        <v>132</v>
      </c>
    </row>
    <row r="31" spans="1:1" ht="18">
      <c r="A31" s="47" t="s">
        <v>133</v>
      </c>
    </row>
    <row r="32" spans="1:1" ht="18">
      <c r="A32" s="47" t="s">
        <v>134</v>
      </c>
    </row>
    <row r="36" spans="1:1" ht="24">
      <c r="A36" s="3" t="s">
        <v>135</v>
      </c>
    </row>
    <row r="38" spans="1:1" ht="18.75">
      <c r="A38" s="8" t="s">
        <v>124</v>
      </c>
    </row>
    <row r="39" spans="1:1" ht="18.75">
      <c r="A39" s="18" t="s">
        <v>136</v>
      </c>
    </row>
    <row r="40" spans="1:1" ht="18.75">
      <c r="A40" s="18" t="s">
        <v>137</v>
      </c>
    </row>
    <row r="41" spans="1:1" ht="18.75">
      <c r="A41" s="48"/>
    </row>
    <row r="42" spans="1:1" ht="18">
      <c r="A42" s="40" t="s">
        <v>138</v>
      </c>
    </row>
    <row r="43" spans="1:1" ht="18.75">
      <c r="A43" s="8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Excel Tables</vt:lpstr>
      <vt:lpstr>Autofill and Flash Fill</vt:lpstr>
      <vt:lpstr>Cell Formatting Styles</vt:lpstr>
      <vt:lpstr>Named Ranges in Formulas</vt:lpstr>
      <vt:lpstr>Sheet7</vt:lpstr>
      <vt:lpstr>Advanced Filtering</vt:lpstr>
      <vt:lpstr>Optimizing Workbook Performance</vt:lpstr>
      <vt:lpstr>'Advanced Filtering'!Criteria</vt:lpstr>
      <vt:lpstr>'Advanced Filtering'!Extract</vt:lpstr>
      <vt:lpstr>sale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amit.kamat005</dc:creator>
  <cp:lastModifiedBy>amit.kamat005</cp:lastModifiedBy>
  <dcterms:created xsi:type="dcterms:W3CDTF">2026-06-21T03:49:33Z</dcterms:created>
  <dcterms:modified xsi:type="dcterms:W3CDTF">2026-06-21T06:29:53Z</dcterms:modified>
</cp:coreProperties>
</file>